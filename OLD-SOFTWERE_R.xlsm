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0490" windowHeight="7755" activeTab="1"/>
  </bookViews>
  <sheets>
    <sheet name="DASHBOARD" sheetId="5" r:id="rId1"/>
    <sheet name="AB AHAD MIR" sheetId="8" r:id="rId2"/>
    <sheet name="AB AHAD MIR (2)" sheetId="9" r:id="rId3"/>
    <sheet name="Sheet1" sheetId="10" r:id="rId4"/>
    <sheet name="DASHBOARD-OLD" sheetId="1" r:id="rId5"/>
    <sheet name="A(TEMPLET)-OLD" sheetId="3" r:id="rId6"/>
    <sheet name="AB AHAD MIR-OLD" sheetId="4" r:id="rId7"/>
  </sheets>
  <definedNames>
    <definedName name="_xlnm._FilterDatabase" localSheetId="1" hidden="1">'AB AHAD MIR'!$B$9:$M$409</definedName>
    <definedName name="_xlnm._FilterDatabase" localSheetId="2" hidden="1">'AB AHAD MIR (2)'!$B$9:$M$409</definedName>
  </definedNames>
  <calcPr calcId="152511"/>
  <pivotCaches>
    <pivotCache cacheId="0" r:id="rId8"/>
  </pivotCaches>
</workbook>
</file>

<file path=xl/calcChain.xml><?xml version="1.0" encoding="utf-8"?>
<calcChain xmlns="http://schemas.openxmlformats.org/spreadsheetml/2006/main">
  <c r="M409" i="9" l="1"/>
  <c r="L409" i="9"/>
  <c r="K409" i="9"/>
  <c r="M408" i="9"/>
  <c r="L408" i="9"/>
  <c r="K408" i="9"/>
  <c r="M407" i="9"/>
  <c r="L407" i="9"/>
  <c r="K407" i="9"/>
  <c r="M406" i="9"/>
  <c r="L406" i="9"/>
  <c r="K406" i="9"/>
  <c r="M405" i="9"/>
  <c r="L405" i="9"/>
  <c r="K405" i="9"/>
  <c r="M404" i="9"/>
  <c r="L404" i="9"/>
  <c r="K404" i="9"/>
  <c r="M403" i="9"/>
  <c r="L403" i="9"/>
  <c r="K403" i="9"/>
  <c r="M402" i="9"/>
  <c r="L402" i="9"/>
  <c r="K402" i="9"/>
  <c r="M401" i="9"/>
  <c r="L401" i="9"/>
  <c r="K401" i="9"/>
  <c r="M400" i="9"/>
  <c r="L400" i="9"/>
  <c r="K400" i="9"/>
  <c r="M399" i="9"/>
  <c r="L399" i="9"/>
  <c r="K399" i="9"/>
  <c r="M398" i="9"/>
  <c r="L398" i="9"/>
  <c r="K398" i="9"/>
  <c r="M397" i="9"/>
  <c r="L397" i="9"/>
  <c r="K397" i="9"/>
  <c r="M396" i="9"/>
  <c r="L396" i="9"/>
  <c r="K396" i="9"/>
  <c r="M395" i="9"/>
  <c r="L395" i="9"/>
  <c r="K395" i="9"/>
  <c r="M394" i="9"/>
  <c r="L394" i="9"/>
  <c r="K394" i="9"/>
  <c r="M393" i="9"/>
  <c r="L393" i="9"/>
  <c r="K393" i="9"/>
  <c r="M392" i="9"/>
  <c r="L392" i="9"/>
  <c r="K392" i="9"/>
  <c r="M391" i="9"/>
  <c r="L391" i="9"/>
  <c r="K391" i="9"/>
  <c r="M390" i="9"/>
  <c r="L390" i="9"/>
  <c r="K390" i="9"/>
  <c r="M389" i="9"/>
  <c r="L389" i="9"/>
  <c r="K389" i="9"/>
  <c r="M388" i="9"/>
  <c r="L388" i="9"/>
  <c r="K388" i="9"/>
  <c r="M387" i="9"/>
  <c r="L387" i="9"/>
  <c r="K387" i="9"/>
  <c r="M386" i="9"/>
  <c r="L386" i="9"/>
  <c r="K386" i="9"/>
  <c r="M385" i="9"/>
  <c r="L385" i="9"/>
  <c r="K385" i="9"/>
  <c r="M384" i="9"/>
  <c r="L384" i="9"/>
  <c r="K384" i="9"/>
  <c r="M383" i="9"/>
  <c r="L383" i="9"/>
  <c r="K383" i="9"/>
  <c r="M382" i="9"/>
  <c r="L382" i="9"/>
  <c r="K382" i="9"/>
  <c r="M381" i="9"/>
  <c r="L381" i="9"/>
  <c r="K381" i="9"/>
  <c r="M380" i="9"/>
  <c r="L380" i="9"/>
  <c r="K380" i="9"/>
  <c r="M379" i="9"/>
  <c r="L379" i="9"/>
  <c r="K379" i="9"/>
  <c r="M378" i="9"/>
  <c r="L378" i="9"/>
  <c r="K378" i="9"/>
  <c r="M377" i="9"/>
  <c r="L377" i="9"/>
  <c r="K377" i="9"/>
  <c r="M376" i="9"/>
  <c r="L376" i="9"/>
  <c r="K376" i="9"/>
  <c r="M375" i="9"/>
  <c r="L375" i="9"/>
  <c r="K375" i="9"/>
  <c r="M374" i="9"/>
  <c r="L374" i="9"/>
  <c r="K374" i="9"/>
  <c r="M373" i="9"/>
  <c r="L373" i="9"/>
  <c r="K373" i="9"/>
  <c r="M372" i="9"/>
  <c r="L372" i="9"/>
  <c r="K372" i="9"/>
  <c r="M371" i="9"/>
  <c r="L371" i="9"/>
  <c r="K371" i="9"/>
  <c r="M370" i="9"/>
  <c r="L370" i="9"/>
  <c r="K370" i="9"/>
  <c r="M369" i="9"/>
  <c r="L369" i="9"/>
  <c r="K369" i="9"/>
  <c r="M368" i="9"/>
  <c r="L368" i="9"/>
  <c r="K368" i="9"/>
  <c r="M367" i="9"/>
  <c r="L367" i="9"/>
  <c r="K367" i="9"/>
  <c r="M366" i="9"/>
  <c r="L366" i="9"/>
  <c r="K366" i="9"/>
  <c r="M365" i="9"/>
  <c r="L365" i="9"/>
  <c r="K365" i="9"/>
  <c r="M364" i="9"/>
  <c r="L364" i="9"/>
  <c r="K364" i="9"/>
  <c r="M363" i="9"/>
  <c r="L363" i="9"/>
  <c r="K363" i="9"/>
  <c r="M362" i="9"/>
  <c r="L362" i="9"/>
  <c r="K362" i="9"/>
  <c r="M361" i="9"/>
  <c r="L361" i="9"/>
  <c r="K361" i="9"/>
  <c r="M360" i="9"/>
  <c r="L360" i="9"/>
  <c r="K360" i="9"/>
  <c r="M359" i="9"/>
  <c r="L359" i="9"/>
  <c r="K359" i="9"/>
  <c r="M358" i="9"/>
  <c r="L358" i="9"/>
  <c r="K358" i="9"/>
  <c r="M357" i="9"/>
  <c r="L357" i="9"/>
  <c r="K357" i="9"/>
  <c r="M356" i="9"/>
  <c r="L356" i="9"/>
  <c r="K356" i="9"/>
  <c r="M355" i="9"/>
  <c r="L355" i="9"/>
  <c r="K355" i="9"/>
  <c r="M354" i="9"/>
  <c r="L354" i="9"/>
  <c r="K354" i="9"/>
  <c r="M353" i="9"/>
  <c r="L353" i="9"/>
  <c r="K353" i="9"/>
  <c r="M352" i="9"/>
  <c r="L352" i="9"/>
  <c r="K352" i="9"/>
  <c r="M351" i="9"/>
  <c r="L351" i="9"/>
  <c r="K351" i="9"/>
  <c r="M350" i="9"/>
  <c r="L350" i="9"/>
  <c r="K350" i="9"/>
  <c r="M349" i="9"/>
  <c r="L349" i="9"/>
  <c r="K349" i="9"/>
  <c r="M348" i="9"/>
  <c r="L348" i="9"/>
  <c r="K348" i="9"/>
  <c r="M347" i="9"/>
  <c r="L347" i="9"/>
  <c r="K347" i="9"/>
  <c r="M346" i="9"/>
  <c r="L346" i="9"/>
  <c r="K346" i="9"/>
  <c r="M345" i="9"/>
  <c r="L345" i="9"/>
  <c r="K345" i="9"/>
  <c r="M344" i="9"/>
  <c r="L344" i="9"/>
  <c r="K344" i="9"/>
  <c r="M343" i="9"/>
  <c r="L343" i="9"/>
  <c r="K343" i="9"/>
  <c r="M342" i="9"/>
  <c r="L342" i="9"/>
  <c r="K342" i="9"/>
  <c r="M341" i="9"/>
  <c r="L341" i="9"/>
  <c r="K341" i="9"/>
  <c r="M340" i="9"/>
  <c r="L340" i="9"/>
  <c r="K340" i="9"/>
  <c r="M339" i="9"/>
  <c r="L339" i="9"/>
  <c r="K339" i="9"/>
  <c r="M338" i="9"/>
  <c r="L338" i="9"/>
  <c r="K338" i="9"/>
  <c r="M337" i="9"/>
  <c r="L337" i="9"/>
  <c r="K337" i="9"/>
  <c r="M336" i="9"/>
  <c r="L336" i="9"/>
  <c r="K336" i="9"/>
  <c r="M335" i="9"/>
  <c r="L335" i="9"/>
  <c r="K335" i="9"/>
  <c r="M334" i="9"/>
  <c r="L334" i="9"/>
  <c r="K334" i="9"/>
  <c r="M333" i="9"/>
  <c r="L333" i="9"/>
  <c r="K333" i="9"/>
  <c r="M332" i="9"/>
  <c r="L332" i="9"/>
  <c r="K332" i="9"/>
  <c r="M331" i="9"/>
  <c r="L331" i="9"/>
  <c r="K331" i="9"/>
  <c r="M330" i="9"/>
  <c r="L330" i="9"/>
  <c r="K330" i="9"/>
  <c r="M329" i="9"/>
  <c r="L329" i="9"/>
  <c r="K329" i="9"/>
  <c r="M328" i="9"/>
  <c r="L328" i="9"/>
  <c r="K328" i="9"/>
  <c r="M327" i="9"/>
  <c r="L327" i="9"/>
  <c r="K327" i="9"/>
  <c r="M326" i="9"/>
  <c r="L326" i="9"/>
  <c r="K326" i="9"/>
  <c r="M325" i="9"/>
  <c r="L325" i="9"/>
  <c r="K325" i="9"/>
  <c r="M324" i="9"/>
  <c r="L324" i="9"/>
  <c r="K324" i="9"/>
  <c r="M323" i="9"/>
  <c r="L323" i="9"/>
  <c r="K323" i="9"/>
  <c r="M322" i="9"/>
  <c r="L322" i="9"/>
  <c r="K322" i="9"/>
  <c r="M321" i="9"/>
  <c r="L321" i="9"/>
  <c r="K321" i="9"/>
  <c r="M320" i="9"/>
  <c r="L320" i="9"/>
  <c r="K320" i="9"/>
  <c r="M319" i="9"/>
  <c r="L319" i="9"/>
  <c r="K319" i="9"/>
  <c r="M318" i="9"/>
  <c r="L318" i="9"/>
  <c r="K318" i="9"/>
  <c r="M317" i="9"/>
  <c r="L317" i="9"/>
  <c r="K317" i="9"/>
  <c r="M316" i="9"/>
  <c r="L316" i="9"/>
  <c r="K316" i="9"/>
  <c r="M315" i="9"/>
  <c r="L315" i="9"/>
  <c r="K315" i="9"/>
  <c r="M314" i="9"/>
  <c r="L314" i="9"/>
  <c r="K314" i="9"/>
  <c r="M313" i="9"/>
  <c r="L313" i="9"/>
  <c r="K313" i="9"/>
  <c r="M312" i="9"/>
  <c r="L312" i="9"/>
  <c r="K312" i="9"/>
  <c r="M311" i="9"/>
  <c r="L311" i="9"/>
  <c r="K311" i="9"/>
  <c r="M310" i="9"/>
  <c r="L310" i="9"/>
  <c r="K310" i="9"/>
  <c r="M309" i="9"/>
  <c r="L309" i="9"/>
  <c r="K309" i="9"/>
  <c r="M308" i="9"/>
  <c r="L308" i="9"/>
  <c r="K308" i="9"/>
  <c r="M307" i="9"/>
  <c r="L307" i="9"/>
  <c r="K307" i="9"/>
  <c r="M306" i="9"/>
  <c r="L306" i="9"/>
  <c r="K306" i="9"/>
  <c r="M305" i="9"/>
  <c r="L305" i="9"/>
  <c r="K305" i="9"/>
  <c r="M304" i="9"/>
  <c r="L304" i="9"/>
  <c r="K304" i="9"/>
  <c r="M303" i="9"/>
  <c r="L303" i="9"/>
  <c r="K303" i="9"/>
  <c r="M302" i="9"/>
  <c r="L302" i="9"/>
  <c r="K302" i="9"/>
  <c r="M301" i="9"/>
  <c r="L301" i="9"/>
  <c r="K301" i="9"/>
  <c r="M300" i="9"/>
  <c r="L300" i="9"/>
  <c r="K300" i="9"/>
  <c r="M299" i="9"/>
  <c r="L299" i="9"/>
  <c r="K299" i="9"/>
  <c r="M298" i="9"/>
  <c r="L298" i="9"/>
  <c r="K298" i="9"/>
  <c r="M297" i="9"/>
  <c r="L297" i="9"/>
  <c r="K297" i="9"/>
  <c r="M296" i="9"/>
  <c r="L296" i="9"/>
  <c r="K296" i="9"/>
  <c r="M295" i="9"/>
  <c r="L295" i="9"/>
  <c r="K295" i="9"/>
  <c r="M294" i="9"/>
  <c r="L294" i="9"/>
  <c r="K294" i="9"/>
  <c r="M293" i="9"/>
  <c r="L293" i="9"/>
  <c r="K293" i="9"/>
  <c r="M292" i="9"/>
  <c r="L292" i="9"/>
  <c r="K292" i="9"/>
  <c r="M291" i="9"/>
  <c r="L291" i="9"/>
  <c r="K291" i="9"/>
  <c r="M290" i="9"/>
  <c r="L290" i="9"/>
  <c r="K290" i="9"/>
  <c r="M289" i="9"/>
  <c r="L289" i="9"/>
  <c r="K289" i="9"/>
  <c r="M288" i="9"/>
  <c r="L288" i="9"/>
  <c r="K288" i="9"/>
  <c r="M287" i="9"/>
  <c r="L287" i="9"/>
  <c r="K287" i="9"/>
  <c r="M286" i="9"/>
  <c r="L286" i="9"/>
  <c r="K286" i="9"/>
  <c r="M285" i="9"/>
  <c r="L285" i="9"/>
  <c r="K285" i="9"/>
  <c r="M284" i="9"/>
  <c r="L284" i="9"/>
  <c r="K284" i="9"/>
  <c r="M283" i="9"/>
  <c r="L283" i="9"/>
  <c r="K283" i="9"/>
  <c r="M282" i="9"/>
  <c r="L282" i="9"/>
  <c r="K282" i="9"/>
  <c r="M281" i="9"/>
  <c r="L281" i="9"/>
  <c r="K281" i="9"/>
  <c r="M280" i="9"/>
  <c r="L280" i="9"/>
  <c r="K280" i="9"/>
  <c r="M279" i="9"/>
  <c r="L279" i="9"/>
  <c r="K279" i="9"/>
  <c r="M278" i="9"/>
  <c r="L278" i="9"/>
  <c r="K278" i="9"/>
  <c r="M277" i="9"/>
  <c r="L277" i="9"/>
  <c r="K277" i="9"/>
  <c r="M276" i="9"/>
  <c r="L276" i="9"/>
  <c r="K276" i="9"/>
  <c r="M275" i="9"/>
  <c r="L275" i="9"/>
  <c r="K275" i="9"/>
  <c r="M274" i="9"/>
  <c r="L274" i="9"/>
  <c r="K274" i="9"/>
  <c r="M273" i="9"/>
  <c r="L273" i="9"/>
  <c r="K273" i="9"/>
  <c r="M272" i="9"/>
  <c r="L272" i="9"/>
  <c r="K272" i="9"/>
  <c r="M271" i="9"/>
  <c r="L271" i="9"/>
  <c r="K271" i="9"/>
  <c r="M270" i="9"/>
  <c r="L270" i="9"/>
  <c r="K270" i="9"/>
  <c r="M269" i="9"/>
  <c r="L269" i="9"/>
  <c r="K269" i="9"/>
  <c r="M268" i="9"/>
  <c r="L268" i="9"/>
  <c r="K268" i="9"/>
  <c r="M267" i="9"/>
  <c r="L267" i="9"/>
  <c r="K267" i="9"/>
  <c r="M266" i="9"/>
  <c r="L266" i="9"/>
  <c r="K266" i="9"/>
  <c r="M265" i="9"/>
  <c r="L265" i="9"/>
  <c r="K265" i="9"/>
  <c r="M264" i="9"/>
  <c r="L264" i="9"/>
  <c r="K264" i="9"/>
  <c r="M263" i="9"/>
  <c r="L263" i="9"/>
  <c r="K263" i="9"/>
  <c r="M262" i="9"/>
  <c r="L262" i="9"/>
  <c r="K262" i="9"/>
  <c r="M261" i="9"/>
  <c r="L261" i="9"/>
  <c r="K261" i="9"/>
  <c r="M260" i="9"/>
  <c r="L260" i="9"/>
  <c r="K260" i="9"/>
  <c r="M259" i="9"/>
  <c r="L259" i="9"/>
  <c r="K259" i="9"/>
  <c r="M258" i="9"/>
  <c r="L258" i="9"/>
  <c r="K258" i="9"/>
  <c r="M257" i="9"/>
  <c r="L257" i="9"/>
  <c r="K257" i="9"/>
  <c r="M256" i="9"/>
  <c r="L256" i="9"/>
  <c r="K256" i="9"/>
  <c r="M255" i="9"/>
  <c r="L255" i="9"/>
  <c r="K255" i="9"/>
  <c r="M254" i="9"/>
  <c r="L254" i="9"/>
  <c r="K254" i="9"/>
  <c r="M253" i="9"/>
  <c r="L253" i="9"/>
  <c r="K253" i="9"/>
  <c r="M252" i="9"/>
  <c r="L252" i="9"/>
  <c r="K252" i="9"/>
  <c r="M251" i="9"/>
  <c r="L251" i="9"/>
  <c r="K251" i="9"/>
  <c r="M250" i="9"/>
  <c r="L250" i="9"/>
  <c r="K250" i="9"/>
  <c r="M249" i="9"/>
  <c r="L249" i="9"/>
  <c r="K249" i="9"/>
  <c r="M248" i="9"/>
  <c r="L248" i="9"/>
  <c r="K248" i="9"/>
  <c r="M247" i="9"/>
  <c r="L247" i="9"/>
  <c r="K247" i="9"/>
  <c r="M246" i="9"/>
  <c r="L246" i="9"/>
  <c r="K246" i="9"/>
  <c r="M245" i="9"/>
  <c r="L245" i="9"/>
  <c r="K245" i="9"/>
  <c r="M244" i="9"/>
  <c r="L244" i="9"/>
  <c r="K244" i="9"/>
  <c r="M243" i="9"/>
  <c r="L243" i="9"/>
  <c r="K243" i="9"/>
  <c r="M242" i="9"/>
  <c r="L242" i="9"/>
  <c r="K242" i="9"/>
  <c r="M241" i="9"/>
  <c r="L241" i="9"/>
  <c r="K241" i="9"/>
  <c r="M240" i="9"/>
  <c r="L240" i="9"/>
  <c r="K240" i="9"/>
  <c r="M239" i="9"/>
  <c r="L239" i="9"/>
  <c r="K239" i="9"/>
  <c r="M238" i="9"/>
  <c r="L238" i="9"/>
  <c r="K238" i="9"/>
  <c r="M237" i="9"/>
  <c r="L237" i="9"/>
  <c r="K237" i="9"/>
  <c r="M236" i="9"/>
  <c r="L236" i="9"/>
  <c r="K236" i="9"/>
  <c r="M235" i="9"/>
  <c r="L235" i="9"/>
  <c r="K235" i="9"/>
  <c r="M234" i="9"/>
  <c r="L234" i="9"/>
  <c r="K234" i="9"/>
  <c r="M233" i="9"/>
  <c r="L233" i="9"/>
  <c r="K233" i="9"/>
  <c r="M232" i="9"/>
  <c r="L232" i="9"/>
  <c r="K232" i="9"/>
  <c r="M231" i="9"/>
  <c r="L231" i="9"/>
  <c r="K231" i="9"/>
  <c r="M230" i="9"/>
  <c r="L230" i="9"/>
  <c r="K230" i="9"/>
  <c r="M229" i="9"/>
  <c r="L229" i="9"/>
  <c r="K229" i="9"/>
  <c r="M228" i="9"/>
  <c r="L228" i="9"/>
  <c r="K228" i="9"/>
  <c r="M227" i="9"/>
  <c r="L227" i="9"/>
  <c r="K227" i="9"/>
  <c r="M226" i="9"/>
  <c r="L226" i="9"/>
  <c r="K226" i="9"/>
  <c r="M225" i="9"/>
  <c r="L225" i="9"/>
  <c r="K225" i="9"/>
  <c r="M224" i="9"/>
  <c r="L224" i="9"/>
  <c r="K224" i="9"/>
  <c r="M223" i="9"/>
  <c r="L223" i="9"/>
  <c r="K223" i="9"/>
  <c r="M222" i="9"/>
  <c r="L222" i="9"/>
  <c r="K222" i="9"/>
  <c r="M221" i="9"/>
  <c r="L221" i="9"/>
  <c r="K221" i="9"/>
  <c r="M220" i="9"/>
  <c r="L220" i="9"/>
  <c r="K220" i="9"/>
  <c r="M219" i="9"/>
  <c r="L219" i="9"/>
  <c r="K219" i="9"/>
  <c r="M218" i="9"/>
  <c r="L218" i="9"/>
  <c r="K218" i="9"/>
  <c r="M217" i="9"/>
  <c r="L217" i="9"/>
  <c r="K217" i="9"/>
  <c r="M216" i="9"/>
  <c r="L216" i="9"/>
  <c r="K216" i="9"/>
  <c r="M215" i="9"/>
  <c r="L215" i="9"/>
  <c r="K215" i="9"/>
  <c r="M214" i="9"/>
  <c r="L214" i="9"/>
  <c r="K214" i="9"/>
  <c r="M213" i="9"/>
  <c r="L213" i="9"/>
  <c r="K213" i="9"/>
  <c r="M212" i="9"/>
  <c r="L212" i="9"/>
  <c r="K212" i="9"/>
  <c r="M211" i="9"/>
  <c r="L211" i="9"/>
  <c r="K211" i="9"/>
  <c r="M210" i="9"/>
  <c r="L210" i="9"/>
  <c r="K210" i="9"/>
  <c r="M209" i="9"/>
  <c r="L209" i="9"/>
  <c r="K209" i="9"/>
  <c r="M208" i="9"/>
  <c r="L208" i="9"/>
  <c r="K208" i="9"/>
  <c r="M207" i="9"/>
  <c r="L207" i="9"/>
  <c r="K207" i="9"/>
  <c r="M206" i="9"/>
  <c r="L206" i="9"/>
  <c r="K206" i="9"/>
  <c r="M205" i="9"/>
  <c r="L205" i="9"/>
  <c r="K205" i="9"/>
  <c r="M204" i="9"/>
  <c r="L204" i="9"/>
  <c r="K204" i="9"/>
  <c r="M203" i="9"/>
  <c r="L203" i="9"/>
  <c r="K203" i="9"/>
  <c r="M202" i="9"/>
  <c r="L202" i="9"/>
  <c r="K202" i="9"/>
  <c r="M201" i="9"/>
  <c r="L201" i="9"/>
  <c r="K201" i="9"/>
  <c r="M200" i="9"/>
  <c r="L200" i="9"/>
  <c r="K200" i="9"/>
  <c r="M199" i="9"/>
  <c r="L199" i="9"/>
  <c r="K199" i="9"/>
  <c r="M198" i="9"/>
  <c r="L198" i="9"/>
  <c r="K198" i="9"/>
  <c r="M197" i="9"/>
  <c r="L197" i="9"/>
  <c r="K197" i="9"/>
  <c r="M196" i="9"/>
  <c r="L196" i="9"/>
  <c r="K196" i="9"/>
  <c r="M195" i="9"/>
  <c r="L195" i="9"/>
  <c r="K195" i="9"/>
  <c r="M194" i="9"/>
  <c r="L194" i="9"/>
  <c r="K194" i="9"/>
  <c r="M193" i="9"/>
  <c r="L193" i="9"/>
  <c r="K193" i="9"/>
  <c r="M192" i="9"/>
  <c r="L192" i="9"/>
  <c r="K192" i="9"/>
  <c r="M191" i="9"/>
  <c r="L191" i="9"/>
  <c r="K191" i="9"/>
  <c r="M190" i="9"/>
  <c r="L190" i="9"/>
  <c r="K190" i="9"/>
  <c r="M189" i="9"/>
  <c r="L189" i="9"/>
  <c r="K189" i="9"/>
  <c r="M188" i="9"/>
  <c r="L188" i="9"/>
  <c r="K188" i="9"/>
  <c r="M187" i="9"/>
  <c r="L187" i="9"/>
  <c r="K187" i="9"/>
  <c r="M186" i="9"/>
  <c r="L186" i="9"/>
  <c r="K186" i="9"/>
  <c r="M185" i="9"/>
  <c r="L185" i="9"/>
  <c r="K185" i="9"/>
  <c r="M184" i="9"/>
  <c r="L184" i="9"/>
  <c r="K184" i="9"/>
  <c r="M183" i="9"/>
  <c r="L183" i="9"/>
  <c r="K183" i="9"/>
  <c r="M182" i="9"/>
  <c r="L182" i="9"/>
  <c r="K182" i="9"/>
  <c r="M181" i="9"/>
  <c r="L181" i="9"/>
  <c r="K181" i="9"/>
  <c r="M180" i="9"/>
  <c r="L180" i="9"/>
  <c r="K180" i="9"/>
  <c r="M179" i="9"/>
  <c r="L179" i="9"/>
  <c r="K179" i="9"/>
  <c r="M178" i="9"/>
  <c r="L178" i="9"/>
  <c r="K178" i="9"/>
  <c r="M177" i="9"/>
  <c r="L177" i="9"/>
  <c r="K177" i="9"/>
  <c r="M176" i="9"/>
  <c r="L176" i="9"/>
  <c r="K176" i="9"/>
  <c r="M175" i="9"/>
  <c r="L175" i="9"/>
  <c r="K175" i="9"/>
  <c r="M174" i="9"/>
  <c r="L174" i="9"/>
  <c r="K174" i="9"/>
  <c r="M173" i="9"/>
  <c r="L173" i="9"/>
  <c r="K173" i="9"/>
  <c r="M172" i="9"/>
  <c r="L172" i="9"/>
  <c r="K172" i="9"/>
  <c r="M171" i="9"/>
  <c r="L171" i="9"/>
  <c r="K171" i="9"/>
  <c r="M170" i="9"/>
  <c r="L170" i="9"/>
  <c r="K170" i="9"/>
  <c r="M169" i="9"/>
  <c r="L169" i="9"/>
  <c r="K169" i="9"/>
  <c r="M168" i="9"/>
  <c r="L168" i="9"/>
  <c r="K168" i="9"/>
  <c r="M167" i="9"/>
  <c r="L167" i="9"/>
  <c r="K167" i="9"/>
  <c r="M166" i="9"/>
  <c r="L166" i="9"/>
  <c r="K166" i="9"/>
  <c r="M165" i="9"/>
  <c r="L165" i="9"/>
  <c r="K165" i="9"/>
  <c r="M164" i="9"/>
  <c r="L164" i="9"/>
  <c r="K164" i="9"/>
  <c r="M163" i="9"/>
  <c r="L163" i="9"/>
  <c r="K163" i="9"/>
  <c r="M162" i="9"/>
  <c r="L162" i="9"/>
  <c r="K162" i="9"/>
  <c r="M161" i="9"/>
  <c r="L161" i="9"/>
  <c r="K161" i="9"/>
  <c r="M160" i="9"/>
  <c r="L160" i="9"/>
  <c r="K160" i="9"/>
  <c r="M159" i="9"/>
  <c r="L159" i="9"/>
  <c r="K159" i="9"/>
  <c r="M158" i="9"/>
  <c r="L158" i="9"/>
  <c r="K158" i="9"/>
  <c r="M157" i="9"/>
  <c r="L157" i="9"/>
  <c r="K157" i="9"/>
  <c r="M156" i="9"/>
  <c r="L156" i="9"/>
  <c r="K156" i="9"/>
  <c r="M155" i="9"/>
  <c r="L155" i="9"/>
  <c r="K155" i="9"/>
  <c r="M154" i="9"/>
  <c r="L154" i="9"/>
  <c r="K154" i="9"/>
  <c r="M153" i="9"/>
  <c r="L153" i="9"/>
  <c r="K153" i="9"/>
  <c r="M152" i="9"/>
  <c r="L152" i="9"/>
  <c r="K152" i="9"/>
  <c r="M151" i="9"/>
  <c r="L151" i="9"/>
  <c r="K151" i="9"/>
  <c r="M150" i="9"/>
  <c r="L150" i="9"/>
  <c r="K150" i="9"/>
  <c r="M149" i="9"/>
  <c r="L149" i="9"/>
  <c r="K149" i="9"/>
  <c r="M148" i="9"/>
  <c r="L148" i="9"/>
  <c r="K148" i="9"/>
  <c r="M147" i="9"/>
  <c r="L147" i="9"/>
  <c r="K147" i="9"/>
  <c r="M146" i="9"/>
  <c r="L146" i="9"/>
  <c r="K146" i="9"/>
  <c r="M145" i="9"/>
  <c r="L145" i="9"/>
  <c r="K145" i="9"/>
  <c r="M144" i="9"/>
  <c r="L144" i="9"/>
  <c r="K144" i="9"/>
  <c r="M143" i="9"/>
  <c r="L143" i="9"/>
  <c r="K143" i="9"/>
  <c r="M142" i="9"/>
  <c r="L142" i="9"/>
  <c r="K142" i="9"/>
  <c r="M141" i="9"/>
  <c r="L141" i="9"/>
  <c r="K141" i="9"/>
  <c r="M140" i="9"/>
  <c r="L140" i="9"/>
  <c r="K140" i="9"/>
  <c r="M139" i="9"/>
  <c r="L139" i="9"/>
  <c r="K139" i="9"/>
  <c r="M138" i="9"/>
  <c r="L138" i="9"/>
  <c r="K138" i="9"/>
  <c r="M137" i="9"/>
  <c r="L137" i="9"/>
  <c r="K137" i="9"/>
  <c r="M136" i="9"/>
  <c r="L136" i="9"/>
  <c r="K136" i="9"/>
  <c r="M135" i="9"/>
  <c r="L135" i="9"/>
  <c r="K135" i="9"/>
  <c r="M134" i="9"/>
  <c r="L134" i="9"/>
  <c r="K134" i="9"/>
  <c r="M133" i="9"/>
  <c r="L133" i="9"/>
  <c r="K133" i="9"/>
  <c r="M132" i="9"/>
  <c r="L132" i="9"/>
  <c r="K132" i="9"/>
  <c r="M131" i="9"/>
  <c r="L131" i="9"/>
  <c r="K131" i="9"/>
  <c r="M130" i="9"/>
  <c r="L130" i="9"/>
  <c r="K130" i="9"/>
  <c r="M129" i="9"/>
  <c r="L129" i="9"/>
  <c r="K129" i="9"/>
  <c r="M128" i="9"/>
  <c r="L128" i="9"/>
  <c r="K128" i="9"/>
  <c r="M127" i="9"/>
  <c r="L127" i="9"/>
  <c r="K127" i="9"/>
  <c r="M126" i="9"/>
  <c r="L126" i="9"/>
  <c r="K126" i="9"/>
  <c r="M125" i="9"/>
  <c r="L125" i="9"/>
  <c r="K125" i="9"/>
  <c r="M124" i="9"/>
  <c r="L124" i="9"/>
  <c r="K124" i="9"/>
  <c r="M123" i="9"/>
  <c r="L123" i="9"/>
  <c r="K123" i="9"/>
  <c r="M122" i="9"/>
  <c r="L122" i="9"/>
  <c r="K122" i="9"/>
  <c r="M121" i="9"/>
  <c r="L121" i="9"/>
  <c r="K121" i="9"/>
  <c r="M120" i="9"/>
  <c r="L120" i="9"/>
  <c r="K120" i="9"/>
  <c r="M119" i="9"/>
  <c r="L119" i="9"/>
  <c r="K119" i="9"/>
  <c r="M118" i="9"/>
  <c r="L118" i="9"/>
  <c r="K118" i="9"/>
  <c r="M117" i="9"/>
  <c r="L117" i="9"/>
  <c r="K117" i="9"/>
  <c r="M116" i="9"/>
  <c r="L116" i="9"/>
  <c r="K116" i="9"/>
  <c r="M115" i="9"/>
  <c r="L115" i="9"/>
  <c r="K115" i="9"/>
  <c r="M114" i="9"/>
  <c r="L114" i="9"/>
  <c r="K114" i="9"/>
  <c r="M113" i="9"/>
  <c r="L113" i="9"/>
  <c r="K113" i="9"/>
  <c r="M112" i="9"/>
  <c r="L112" i="9"/>
  <c r="K112" i="9"/>
  <c r="M111" i="9"/>
  <c r="L111" i="9"/>
  <c r="K111" i="9"/>
  <c r="M110" i="9"/>
  <c r="L110" i="9"/>
  <c r="K110" i="9"/>
  <c r="M109" i="9"/>
  <c r="L109" i="9"/>
  <c r="K109" i="9"/>
  <c r="M108" i="9"/>
  <c r="L108" i="9"/>
  <c r="K108" i="9"/>
  <c r="M107" i="9"/>
  <c r="L107" i="9"/>
  <c r="K107" i="9"/>
  <c r="M106" i="9"/>
  <c r="L106" i="9"/>
  <c r="K106" i="9"/>
  <c r="M105" i="9"/>
  <c r="L105" i="9"/>
  <c r="K105" i="9"/>
  <c r="M104" i="9"/>
  <c r="L104" i="9"/>
  <c r="K104" i="9"/>
  <c r="M103" i="9"/>
  <c r="L103" i="9"/>
  <c r="K103" i="9"/>
  <c r="M102" i="9"/>
  <c r="L102" i="9"/>
  <c r="K102" i="9"/>
  <c r="M101" i="9"/>
  <c r="L101" i="9"/>
  <c r="K101" i="9"/>
  <c r="M100" i="9"/>
  <c r="L100" i="9"/>
  <c r="K100" i="9"/>
  <c r="M99" i="9"/>
  <c r="L99" i="9"/>
  <c r="K99" i="9"/>
  <c r="M98" i="9"/>
  <c r="L98" i="9"/>
  <c r="K98" i="9"/>
  <c r="M97" i="9"/>
  <c r="L97" i="9"/>
  <c r="K97" i="9"/>
  <c r="M96" i="9"/>
  <c r="L96" i="9"/>
  <c r="K96" i="9"/>
  <c r="M95" i="9"/>
  <c r="L95" i="9"/>
  <c r="K95" i="9"/>
  <c r="M94" i="9"/>
  <c r="L94" i="9"/>
  <c r="K94" i="9"/>
  <c r="M93" i="9"/>
  <c r="L93" i="9"/>
  <c r="K93" i="9"/>
  <c r="M92" i="9"/>
  <c r="L92" i="9"/>
  <c r="K92" i="9"/>
  <c r="M91" i="9"/>
  <c r="L91" i="9"/>
  <c r="K91" i="9"/>
  <c r="M90" i="9"/>
  <c r="L90" i="9"/>
  <c r="K90" i="9"/>
  <c r="M89" i="9"/>
  <c r="L89" i="9"/>
  <c r="K89" i="9"/>
  <c r="M88" i="9"/>
  <c r="L88" i="9"/>
  <c r="K88" i="9"/>
  <c r="M87" i="9"/>
  <c r="L87" i="9"/>
  <c r="K87" i="9"/>
  <c r="M86" i="9"/>
  <c r="L86" i="9"/>
  <c r="K86" i="9"/>
  <c r="M85" i="9"/>
  <c r="L85" i="9"/>
  <c r="K85" i="9"/>
  <c r="M84" i="9"/>
  <c r="L84" i="9"/>
  <c r="K84" i="9"/>
  <c r="M83" i="9"/>
  <c r="L83" i="9"/>
  <c r="K83" i="9"/>
  <c r="M82" i="9"/>
  <c r="L82" i="9"/>
  <c r="K82" i="9"/>
  <c r="M81" i="9"/>
  <c r="L81" i="9"/>
  <c r="K81" i="9"/>
  <c r="M80" i="9"/>
  <c r="L80" i="9"/>
  <c r="K80" i="9"/>
  <c r="M79" i="9"/>
  <c r="L79" i="9"/>
  <c r="K79" i="9"/>
  <c r="M78" i="9"/>
  <c r="L78" i="9"/>
  <c r="K78" i="9"/>
  <c r="M77" i="9"/>
  <c r="L77" i="9"/>
  <c r="K77" i="9"/>
  <c r="M76" i="9"/>
  <c r="L76" i="9"/>
  <c r="K76" i="9"/>
  <c r="M75" i="9"/>
  <c r="L75" i="9"/>
  <c r="K75" i="9"/>
  <c r="M74" i="9"/>
  <c r="L74" i="9"/>
  <c r="K74" i="9"/>
  <c r="M73" i="9"/>
  <c r="L73" i="9"/>
  <c r="K73" i="9"/>
  <c r="M72" i="9"/>
  <c r="L72" i="9"/>
  <c r="K72" i="9"/>
  <c r="M71" i="9"/>
  <c r="L71" i="9"/>
  <c r="K71" i="9"/>
  <c r="M70" i="9"/>
  <c r="L70" i="9"/>
  <c r="K70" i="9"/>
  <c r="M69" i="9"/>
  <c r="L69" i="9"/>
  <c r="K69" i="9"/>
  <c r="M68" i="9"/>
  <c r="L68" i="9"/>
  <c r="K68" i="9"/>
  <c r="M67" i="9"/>
  <c r="L67" i="9"/>
  <c r="K67" i="9"/>
  <c r="M66" i="9"/>
  <c r="L66" i="9"/>
  <c r="K66" i="9"/>
  <c r="M65" i="9"/>
  <c r="L65" i="9"/>
  <c r="K65" i="9"/>
  <c r="M64" i="9"/>
  <c r="L64" i="9"/>
  <c r="K64" i="9"/>
  <c r="M63" i="9"/>
  <c r="L63" i="9"/>
  <c r="K63" i="9"/>
  <c r="M62" i="9"/>
  <c r="L62" i="9"/>
  <c r="K62" i="9"/>
  <c r="M61" i="9"/>
  <c r="L61" i="9"/>
  <c r="K61" i="9"/>
  <c r="M60" i="9"/>
  <c r="L60" i="9"/>
  <c r="K60" i="9"/>
  <c r="M59" i="9"/>
  <c r="L59" i="9"/>
  <c r="K59" i="9"/>
  <c r="M58" i="9"/>
  <c r="L58" i="9"/>
  <c r="K58" i="9"/>
  <c r="M57" i="9"/>
  <c r="L57" i="9"/>
  <c r="K57" i="9"/>
  <c r="M56" i="9"/>
  <c r="L56" i="9"/>
  <c r="K56" i="9"/>
  <c r="M55" i="9"/>
  <c r="L55" i="9"/>
  <c r="K55" i="9"/>
  <c r="M54" i="9"/>
  <c r="L54" i="9"/>
  <c r="K54" i="9"/>
  <c r="M53" i="9"/>
  <c r="L53" i="9"/>
  <c r="K53" i="9"/>
  <c r="M52" i="9"/>
  <c r="L52" i="9"/>
  <c r="K52" i="9"/>
  <c r="M51" i="9"/>
  <c r="L51" i="9"/>
  <c r="K51" i="9"/>
  <c r="M50" i="9"/>
  <c r="L50" i="9"/>
  <c r="K50" i="9"/>
  <c r="M49" i="9"/>
  <c r="L49" i="9"/>
  <c r="K49" i="9"/>
  <c r="M48" i="9"/>
  <c r="L48" i="9"/>
  <c r="K48" i="9"/>
  <c r="M47" i="9"/>
  <c r="L47" i="9"/>
  <c r="K47" i="9"/>
  <c r="M46" i="9"/>
  <c r="L46" i="9"/>
  <c r="K46" i="9"/>
  <c r="M45" i="9"/>
  <c r="L45" i="9"/>
  <c r="K45" i="9"/>
  <c r="M44" i="9"/>
  <c r="L44" i="9"/>
  <c r="K44" i="9"/>
  <c r="M43" i="9"/>
  <c r="L43" i="9"/>
  <c r="K43" i="9"/>
  <c r="M42" i="9"/>
  <c r="L42" i="9"/>
  <c r="K42" i="9"/>
  <c r="M41" i="9"/>
  <c r="L41" i="9"/>
  <c r="K41" i="9"/>
  <c r="M40" i="9"/>
  <c r="L40" i="9"/>
  <c r="K40" i="9"/>
  <c r="M39" i="9"/>
  <c r="L39" i="9"/>
  <c r="K39" i="9"/>
  <c r="M38" i="9"/>
  <c r="L38" i="9"/>
  <c r="K38" i="9"/>
  <c r="M37" i="9"/>
  <c r="L37" i="9"/>
  <c r="K37" i="9"/>
  <c r="M36" i="9"/>
  <c r="L36" i="9"/>
  <c r="K36" i="9"/>
  <c r="M35" i="9"/>
  <c r="L35" i="9"/>
  <c r="K35" i="9"/>
  <c r="M34" i="9"/>
  <c r="L34" i="9"/>
  <c r="K34" i="9"/>
  <c r="M33" i="9"/>
  <c r="L33" i="9"/>
  <c r="K33" i="9"/>
  <c r="M32" i="9"/>
  <c r="L32" i="9"/>
  <c r="K32" i="9"/>
  <c r="M31" i="9"/>
  <c r="L31" i="9"/>
  <c r="K31" i="9"/>
  <c r="M30" i="9"/>
  <c r="L30" i="9"/>
  <c r="K30" i="9"/>
  <c r="M29" i="9"/>
  <c r="L29" i="9"/>
  <c r="K29" i="9"/>
  <c r="M28" i="9"/>
  <c r="L28" i="9"/>
  <c r="K28" i="9"/>
  <c r="M27" i="9"/>
  <c r="L27" i="9"/>
  <c r="K27" i="9"/>
  <c r="M26" i="9"/>
  <c r="L26" i="9"/>
  <c r="K26" i="9"/>
  <c r="M25" i="9"/>
  <c r="L25" i="9"/>
  <c r="K25" i="9"/>
  <c r="M24" i="9"/>
  <c r="L24" i="9"/>
  <c r="K24" i="9"/>
  <c r="M23" i="9"/>
  <c r="L23" i="9"/>
  <c r="K23" i="9"/>
  <c r="M22" i="9"/>
  <c r="L22" i="9"/>
  <c r="K22" i="9"/>
  <c r="M21" i="9"/>
  <c r="L21" i="9"/>
  <c r="K21" i="9"/>
  <c r="M20" i="9"/>
  <c r="L20" i="9"/>
  <c r="K20" i="9"/>
  <c r="M19" i="9"/>
  <c r="L19" i="9"/>
  <c r="K19" i="9"/>
  <c r="M18" i="9"/>
  <c r="L18" i="9"/>
  <c r="K18" i="9"/>
  <c r="M17" i="9"/>
  <c r="L17" i="9"/>
  <c r="K17" i="9"/>
  <c r="M16" i="9"/>
  <c r="L16" i="9"/>
  <c r="K16" i="9"/>
  <c r="M15" i="9"/>
  <c r="L15" i="9"/>
  <c r="K15" i="9"/>
  <c r="M14" i="9"/>
  <c r="L14" i="9"/>
  <c r="K14" i="9"/>
  <c r="M13" i="9"/>
  <c r="L13" i="9"/>
  <c r="K13" i="9"/>
  <c r="M12" i="9"/>
  <c r="L12" i="9"/>
  <c r="K12" i="9"/>
  <c r="M11" i="9"/>
  <c r="L11" i="9"/>
  <c r="K11" i="9"/>
  <c r="M10" i="9"/>
  <c r="L10" i="9"/>
  <c r="K10" i="9"/>
  <c r="J10" i="9"/>
  <c r="J11" i="9" s="1"/>
  <c r="J12" i="9" s="1"/>
  <c r="J13" i="9" s="1"/>
  <c r="J14" i="9" s="1"/>
  <c r="J15" i="9" s="1"/>
  <c r="J16" i="9" s="1"/>
  <c r="J17" i="9" s="1"/>
  <c r="J18" i="9" s="1"/>
  <c r="J19" i="9" s="1"/>
  <c r="J20" i="9" s="1"/>
  <c r="J21" i="9" s="1"/>
  <c r="J22" i="9" s="1"/>
  <c r="J23" i="9" s="1"/>
  <c r="J24" i="9" s="1"/>
  <c r="J25" i="9" s="1"/>
  <c r="J26" i="9" s="1"/>
  <c r="J27" i="9" s="1"/>
  <c r="J28" i="9" s="1"/>
  <c r="J29" i="9" s="1"/>
  <c r="J30" i="9" s="1"/>
  <c r="J31" i="9" s="1"/>
  <c r="J32" i="9" s="1"/>
  <c r="J33" i="9" s="1"/>
  <c r="J34" i="9" s="1"/>
  <c r="J35" i="9" s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J46" i="9" s="1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J62" i="9" s="1"/>
  <c r="J63" i="9" s="1"/>
  <c r="J64" i="9" s="1"/>
  <c r="J65" i="9" s="1"/>
  <c r="J66" i="9" s="1"/>
  <c r="J67" i="9" s="1"/>
  <c r="J68" i="9" s="1"/>
  <c r="J69" i="9" s="1"/>
  <c r="J70" i="9" s="1"/>
  <c r="J71" i="9" s="1"/>
  <c r="J72" i="9" s="1"/>
  <c r="J73" i="9" s="1"/>
  <c r="J74" i="9" s="1"/>
  <c r="J75" i="9" s="1"/>
  <c r="J76" i="9" s="1"/>
  <c r="J77" i="9" s="1"/>
  <c r="J78" i="9" s="1"/>
  <c r="J79" i="9" s="1"/>
  <c r="J80" i="9" s="1"/>
  <c r="J81" i="9" s="1"/>
  <c r="J82" i="9" s="1"/>
  <c r="J83" i="9" s="1"/>
  <c r="J84" i="9" s="1"/>
  <c r="J85" i="9" s="1"/>
  <c r="J86" i="9" s="1"/>
  <c r="J87" i="9" s="1"/>
  <c r="J88" i="9" s="1"/>
  <c r="J89" i="9" s="1"/>
  <c r="J90" i="9" s="1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J104" i="9" s="1"/>
  <c r="J105" i="9" s="1"/>
  <c r="J106" i="9" s="1"/>
  <c r="J107" i="9" s="1"/>
  <c r="J108" i="9" s="1"/>
  <c r="J109" i="9" s="1"/>
  <c r="J110" i="9" s="1"/>
  <c r="J111" i="9" s="1"/>
  <c r="J112" i="9" s="1"/>
  <c r="J113" i="9" s="1"/>
  <c r="J114" i="9" s="1"/>
  <c r="J115" i="9" s="1"/>
  <c r="J116" i="9" s="1"/>
  <c r="J117" i="9" s="1"/>
  <c r="J118" i="9" s="1"/>
  <c r="J119" i="9" s="1"/>
  <c r="J120" i="9" s="1"/>
  <c r="J121" i="9" s="1"/>
  <c r="J122" i="9" s="1"/>
  <c r="J123" i="9" s="1"/>
  <c r="J124" i="9" s="1"/>
  <c r="J125" i="9" s="1"/>
  <c r="J126" i="9" s="1"/>
  <c r="J127" i="9" s="1"/>
  <c r="J128" i="9" s="1"/>
  <c r="J129" i="9" s="1"/>
  <c r="J130" i="9" s="1"/>
  <c r="J131" i="9" s="1"/>
  <c r="J132" i="9" s="1"/>
  <c r="J133" i="9" s="1"/>
  <c r="J134" i="9" s="1"/>
  <c r="J135" i="9" s="1"/>
  <c r="J136" i="9" s="1"/>
  <c r="J137" i="9" s="1"/>
  <c r="J138" i="9" s="1"/>
  <c r="J139" i="9" s="1"/>
  <c r="J140" i="9" s="1"/>
  <c r="J141" i="9" s="1"/>
  <c r="J142" i="9" s="1"/>
  <c r="J143" i="9" s="1"/>
  <c r="J144" i="9" s="1"/>
  <c r="J145" i="9" s="1"/>
  <c r="J146" i="9" s="1"/>
  <c r="J147" i="9" s="1"/>
  <c r="J148" i="9" s="1"/>
  <c r="J149" i="9" s="1"/>
  <c r="J150" i="9" s="1"/>
  <c r="J151" i="9" s="1"/>
  <c r="J152" i="9" s="1"/>
  <c r="J153" i="9" s="1"/>
  <c r="J154" i="9" s="1"/>
  <c r="J155" i="9" s="1"/>
  <c r="J156" i="9" s="1"/>
  <c r="J157" i="9" s="1"/>
  <c r="J158" i="9" s="1"/>
  <c r="J159" i="9" s="1"/>
  <c r="J160" i="9" s="1"/>
  <c r="J161" i="9" s="1"/>
  <c r="J162" i="9" s="1"/>
  <c r="J163" i="9" s="1"/>
  <c r="J164" i="9" s="1"/>
  <c r="J165" i="9" s="1"/>
  <c r="J166" i="9" s="1"/>
  <c r="J167" i="9" s="1"/>
  <c r="J168" i="9" s="1"/>
  <c r="J169" i="9" s="1"/>
  <c r="J170" i="9" s="1"/>
  <c r="J171" i="9" s="1"/>
  <c r="J172" i="9" s="1"/>
  <c r="J173" i="9" s="1"/>
  <c r="J174" i="9" s="1"/>
  <c r="J175" i="9" s="1"/>
  <c r="J176" i="9" s="1"/>
  <c r="J177" i="9" s="1"/>
  <c r="J178" i="9" s="1"/>
  <c r="J179" i="9" s="1"/>
  <c r="J180" i="9" s="1"/>
  <c r="J181" i="9" s="1"/>
  <c r="J182" i="9" s="1"/>
  <c r="J183" i="9" s="1"/>
  <c r="J184" i="9" s="1"/>
  <c r="J185" i="9" s="1"/>
  <c r="J186" i="9" s="1"/>
  <c r="J187" i="9" s="1"/>
  <c r="J188" i="9" s="1"/>
  <c r="J189" i="9" s="1"/>
  <c r="J190" i="9" s="1"/>
  <c r="J191" i="9" s="1"/>
  <c r="J192" i="9" s="1"/>
  <c r="J193" i="9" s="1"/>
  <c r="J194" i="9" s="1"/>
  <c r="J195" i="9" s="1"/>
  <c r="J196" i="9" s="1"/>
  <c r="J197" i="9" s="1"/>
  <c r="J198" i="9" s="1"/>
  <c r="J199" i="9" s="1"/>
  <c r="J200" i="9" s="1"/>
  <c r="J201" i="9" s="1"/>
  <c r="J202" i="9" s="1"/>
  <c r="J203" i="9" s="1"/>
  <c r="J204" i="9" s="1"/>
  <c r="J205" i="9" s="1"/>
  <c r="J206" i="9" s="1"/>
  <c r="J207" i="9" s="1"/>
  <c r="J208" i="9" s="1"/>
  <c r="J209" i="9" s="1"/>
  <c r="J210" i="9" s="1"/>
  <c r="J211" i="9" s="1"/>
  <c r="J212" i="9" s="1"/>
  <c r="J213" i="9" s="1"/>
  <c r="J214" i="9" s="1"/>
  <c r="J215" i="9" s="1"/>
  <c r="J216" i="9" s="1"/>
  <c r="J217" i="9" s="1"/>
  <c r="J218" i="9" s="1"/>
  <c r="J219" i="9" s="1"/>
  <c r="J220" i="9" s="1"/>
  <c r="J221" i="9" s="1"/>
  <c r="J222" i="9" s="1"/>
  <c r="J223" i="9" s="1"/>
  <c r="J224" i="9" s="1"/>
  <c r="J225" i="9" s="1"/>
  <c r="J226" i="9" s="1"/>
  <c r="J227" i="9" s="1"/>
  <c r="J228" i="9" s="1"/>
  <c r="J229" i="9" s="1"/>
  <c r="J230" i="9" s="1"/>
  <c r="J231" i="9" s="1"/>
  <c r="J232" i="9" s="1"/>
  <c r="J233" i="9" s="1"/>
  <c r="J234" i="9" s="1"/>
  <c r="J235" i="9" s="1"/>
  <c r="J236" i="9" s="1"/>
  <c r="J237" i="9" s="1"/>
  <c r="J238" i="9" s="1"/>
  <c r="J239" i="9" s="1"/>
  <c r="J240" i="9" s="1"/>
  <c r="J241" i="9" s="1"/>
  <c r="J242" i="9" s="1"/>
  <c r="J243" i="9" s="1"/>
  <c r="J244" i="9" s="1"/>
  <c r="J245" i="9" s="1"/>
  <c r="J246" i="9" s="1"/>
  <c r="J247" i="9" s="1"/>
  <c r="J248" i="9" s="1"/>
  <c r="J249" i="9" s="1"/>
  <c r="J250" i="9" s="1"/>
  <c r="J251" i="9" s="1"/>
  <c r="J252" i="9" s="1"/>
  <c r="J253" i="9" s="1"/>
  <c r="J254" i="9" s="1"/>
  <c r="J255" i="9" s="1"/>
  <c r="J256" i="9" s="1"/>
  <c r="J257" i="9" s="1"/>
  <c r="J258" i="9" s="1"/>
  <c r="J259" i="9" s="1"/>
  <c r="J260" i="9" s="1"/>
  <c r="J261" i="9" s="1"/>
  <c r="J262" i="9" s="1"/>
  <c r="J263" i="9" s="1"/>
  <c r="J264" i="9" s="1"/>
  <c r="J265" i="9" s="1"/>
  <c r="J266" i="9" s="1"/>
  <c r="J267" i="9" s="1"/>
  <c r="J268" i="9" s="1"/>
  <c r="J269" i="9" s="1"/>
  <c r="J270" i="9" s="1"/>
  <c r="J271" i="9" s="1"/>
  <c r="J272" i="9" s="1"/>
  <c r="J273" i="9" s="1"/>
  <c r="J274" i="9" s="1"/>
  <c r="J275" i="9" s="1"/>
  <c r="J276" i="9" s="1"/>
  <c r="J277" i="9" s="1"/>
  <c r="J278" i="9" s="1"/>
  <c r="J279" i="9" s="1"/>
  <c r="J280" i="9" s="1"/>
  <c r="J281" i="9" s="1"/>
  <c r="J282" i="9" s="1"/>
  <c r="J283" i="9" s="1"/>
  <c r="J284" i="9" s="1"/>
  <c r="J285" i="9" s="1"/>
  <c r="J286" i="9" s="1"/>
  <c r="J287" i="9" s="1"/>
  <c r="J288" i="9" s="1"/>
  <c r="J289" i="9" s="1"/>
  <c r="J290" i="9" s="1"/>
  <c r="J291" i="9" s="1"/>
  <c r="J292" i="9" s="1"/>
  <c r="J293" i="9" s="1"/>
  <c r="J294" i="9" s="1"/>
  <c r="J295" i="9" s="1"/>
  <c r="J296" i="9" s="1"/>
  <c r="J297" i="9" s="1"/>
  <c r="J298" i="9" s="1"/>
  <c r="J299" i="9" s="1"/>
  <c r="J300" i="9" s="1"/>
  <c r="J301" i="9" s="1"/>
  <c r="J302" i="9" s="1"/>
  <c r="J303" i="9" s="1"/>
  <c r="J304" i="9" s="1"/>
  <c r="J305" i="9" s="1"/>
  <c r="J306" i="9" s="1"/>
  <c r="J307" i="9" s="1"/>
  <c r="J308" i="9" s="1"/>
  <c r="J309" i="9" s="1"/>
  <c r="J310" i="9" s="1"/>
  <c r="J311" i="9" s="1"/>
  <c r="J312" i="9" s="1"/>
  <c r="J313" i="9" s="1"/>
  <c r="J314" i="9" s="1"/>
  <c r="J315" i="9" s="1"/>
  <c r="J316" i="9" s="1"/>
  <c r="J317" i="9" s="1"/>
  <c r="J318" i="9" s="1"/>
  <c r="J319" i="9" s="1"/>
  <c r="J320" i="9" s="1"/>
  <c r="J321" i="9" s="1"/>
  <c r="J322" i="9" s="1"/>
  <c r="J323" i="9" s="1"/>
  <c r="J324" i="9" s="1"/>
  <c r="J325" i="9" s="1"/>
  <c r="J326" i="9" s="1"/>
  <c r="J327" i="9" s="1"/>
  <c r="J328" i="9" s="1"/>
  <c r="J329" i="9" s="1"/>
  <c r="J330" i="9" s="1"/>
  <c r="J331" i="9" s="1"/>
  <c r="J332" i="9" s="1"/>
  <c r="J333" i="9" s="1"/>
  <c r="J334" i="9" s="1"/>
  <c r="J335" i="9" s="1"/>
  <c r="J336" i="9" s="1"/>
  <c r="J337" i="9" s="1"/>
  <c r="J338" i="9" s="1"/>
  <c r="J339" i="9" s="1"/>
  <c r="J340" i="9" s="1"/>
  <c r="J341" i="9" s="1"/>
  <c r="J342" i="9" s="1"/>
  <c r="J343" i="9" s="1"/>
  <c r="J344" i="9" s="1"/>
  <c r="J345" i="9" s="1"/>
  <c r="J346" i="9" s="1"/>
  <c r="J347" i="9" s="1"/>
  <c r="J348" i="9" s="1"/>
  <c r="J349" i="9" s="1"/>
  <c r="J350" i="9" s="1"/>
  <c r="J351" i="9" s="1"/>
  <c r="J352" i="9" s="1"/>
  <c r="J353" i="9" s="1"/>
  <c r="J354" i="9" s="1"/>
  <c r="J355" i="9" s="1"/>
  <c r="J356" i="9" s="1"/>
  <c r="J357" i="9" s="1"/>
  <c r="J358" i="9" s="1"/>
  <c r="J359" i="9" s="1"/>
  <c r="J360" i="9" s="1"/>
  <c r="J361" i="9" s="1"/>
  <c r="J362" i="9" s="1"/>
  <c r="J363" i="9" s="1"/>
  <c r="J364" i="9" s="1"/>
  <c r="J365" i="9" s="1"/>
  <c r="J366" i="9" s="1"/>
  <c r="J367" i="9" s="1"/>
  <c r="J368" i="9" s="1"/>
  <c r="J369" i="9" s="1"/>
  <c r="J370" i="9" s="1"/>
  <c r="J371" i="9" s="1"/>
  <c r="J372" i="9" s="1"/>
  <c r="J373" i="9" s="1"/>
  <c r="J374" i="9" s="1"/>
  <c r="J375" i="9" s="1"/>
  <c r="J376" i="9" s="1"/>
  <c r="J377" i="9" s="1"/>
  <c r="J378" i="9" s="1"/>
  <c r="J379" i="9" s="1"/>
  <c r="J380" i="9" s="1"/>
  <c r="J381" i="9" s="1"/>
  <c r="J382" i="9" s="1"/>
  <c r="J383" i="9" s="1"/>
  <c r="J384" i="9" s="1"/>
  <c r="J385" i="9" s="1"/>
  <c r="J386" i="9" s="1"/>
  <c r="J387" i="9" s="1"/>
  <c r="J388" i="9" s="1"/>
  <c r="J389" i="9" s="1"/>
  <c r="J390" i="9" s="1"/>
  <c r="J391" i="9" s="1"/>
  <c r="J392" i="9" s="1"/>
  <c r="J393" i="9" s="1"/>
  <c r="J394" i="9" s="1"/>
  <c r="J395" i="9" s="1"/>
  <c r="J396" i="9" s="1"/>
  <c r="J397" i="9" s="1"/>
  <c r="J398" i="9" s="1"/>
  <c r="J399" i="9" s="1"/>
  <c r="J400" i="9" s="1"/>
  <c r="J401" i="9" s="1"/>
  <c r="J402" i="9" s="1"/>
  <c r="J403" i="9" s="1"/>
  <c r="J404" i="9" s="1"/>
  <c r="J405" i="9" s="1"/>
  <c r="J406" i="9" s="1"/>
  <c r="J407" i="9" s="1"/>
  <c r="J408" i="9" s="1"/>
  <c r="J409" i="9" s="1"/>
  <c r="J6" i="9"/>
  <c r="J5" i="9"/>
  <c r="D5" i="9"/>
  <c r="J2" i="9"/>
  <c r="D2" i="9"/>
  <c r="J1" i="9"/>
  <c r="D1" i="9"/>
  <c r="D4" i="9" s="1"/>
  <c r="J7" i="9" l="1"/>
  <c r="D3" i="9"/>
  <c r="J1" i="8"/>
  <c r="H2" i="5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M305" i="8"/>
  <c r="M306" i="8"/>
  <c r="M307" i="8"/>
  <c r="M308" i="8"/>
  <c r="M309" i="8"/>
  <c r="M310" i="8"/>
  <c r="M311" i="8"/>
  <c r="M312" i="8"/>
  <c r="M313" i="8"/>
  <c r="M314" i="8"/>
  <c r="M315" i="8"/>
  <c r="M316" i="8"/>
  <c r="M317" i="8"/>
  <c r="M318" i="8"/>
  <c r="M319" i="8"/>
  <c r="M320" i="8"/>
  <c r="M321" i="8"/>
  <c r="M322" i="8"/>
  <c r="M323" i="8"/>
  <c r="M324" i="8"/>
  <c r="M325" i="8"/>
  <c r="M326" i="8"/>
  <c r="M327" i="8"/>
  <c r="M328" i="8"/>
  <c r="M329" i="8"/>
  <c r="M330" i="8"/>
  <c r="M331" i="8"/>
  <c r="M332" i="8"/>
  <c r="M333" i="8"/>
  <c r="M334" i="8"/>
  <c r="M335" i="8"/>
  <c r="M336" i="8"/>
  <c r="M337" i="8"/>
  <c r="M338" i="8"/>
  <c r="M339" i="8"/>
  <c r="M340" i="8"/>
  <c r="M341" i="8"/>
  <c r="M342" i="8"/>
  <c r="M343" i="8"/>
  <c r="M344" i="8"/>
  <c r="M345" i="8"/>
  <c r="M346" i="8"/>
  <c r="M347" i="8"/>
  <c r="M348" i="8"/>
  <c r="M349" i="8"/>
  <c r="M350" i="8"/>
  <c r="M351" i="8"/>
  <c r="M352" i="8"/>
  <c r="M353" i="8"/>
  <c r="M354" i="8"/>
  <c r="M355" i="8"/>
  <c r="M356" i="8"/>
  <c r="M357" i="8"/>
  <c r="M358" i="8"/>
  <c r="M359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3" i="8"/>
  <c r="M374" i="8"/>
  <c r="M375" i="8"/>
  <c r="M376" i="8"/>
  <c r="M377" i="8"/>
  <c r="M378" i="8"/>
  <c r="M379" i="8"/>
  <c r="M380" i="8"/>
  <c r="M381" i="8"/>
  <c r="M382" i="8"/>
  <c r="M383" i="8"/>
  <c r="M384" i="8"/>
  <c r="M385" i="8"/>
  <c r="M386" i="8"/>
  <c r="M387" i="8"/>
  <c r="M388" i="8"/>
  <c r="M389" i="8"/>
  <c r="M390" i="8"/>
  <c r="M391" i="8"/>
  <c r="M392" i="8"/>
  <c r="M393" i="8"/>
  <c r="M394" i="8"/>
  <c r="M395" i="8"/>
  <c r="M396" i="8"/>
  <c r="M397" i="8"/>
  <c r="M398" i="8"/>
  <c r="M399" i="8"/>
  <c r="M400" i="8"/>
  <c r="M401" i="8"/>
  <c r="M402" i="8"/>
  <c r="M403" i="8"/>
  <c r="M404" i="8"/>
  <c r="M405" i="8"/>
  <c r="M406" i="8"/>
  <c r="M407" i="8"/>
  <c r="M408" i="8"/>
  <c r="M409" i="8"/>
  <c r="M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10" i="8"/>
  <c r="D1" i="8"/>
  <c r="D5" i="8"/>
  <c r="D4" i="8"/>
  <c r="D3" i="8"/>
  <c r="D2" i="8"/>
  <c r="J6" i="8"/>
  <c r="J5" i="8"/>
  <c r="J2" i="8"/>
  <c r="J7" i="8" l="1"/>
  <c r="H6" i="5" s="1"/>
  <c r="J10" i="8"/>
  <c r="J11" i="8" s="1"/>
  <c r="J12" i="8" s="1"/>
  <c r="J13" i="8" s="1"/>
  <c r="J14" i="8" s="1"/>
  <c r="J15" i="8" s="1"/>
  <c r="J16" i="8" s="1"/>
  <c r="J17" i="8" s="1"/>
  <c r="J18" i="8" s="1"/>
  <c r="J19" i="8" s="1"/>
  <c r="J20" i="8" s="1"/>
  <c r="J21" i="8" s="1"/>
  <c r="J22" i="8" s="1"/>
  <c r="J23" i="8" s="1"/>
  <c r="J24" i="8" s="1"/>
  <c r="J25" i="8" s="1"/>
  <c r="J26" i="8" s="1"/>
  <c r="J27" i="8" s="1"/>
  <c r="J28" i="8" s="1"/>
  <c r="J29" i="8" s="1"/>
  <c r="J30" i="8" s="1"/>
  <c r="J31" i="8" s="1"/>
  <c r="J32" i="8" s="1"/>
  <c r="J33" i="8" s="1"/>
  <c r="J34" i="8" s="1"/>
  <c r="J35" i="8" s="1"/>
  <c r="J36" i="8" s="1"/>
  <c r="J37" i="8" s="1"/>
  <c r="J38" i="8" s="1"/>
  <c r="J39" i="8" s="1"/>
  <c r="J40" i="8" s="1"/>
  <c r="J41" i="8" s="1"/>
  <c r="J42" i="8" s="1"/>
  <c r="J43" i="8" s="1"/>
  <c r="J44" i="8" s="1"/>
  <c r="J45" i="8" s="1"/>
  <c r="J46" i="8" s="1"/>
  <c r="J47" i="8" s="1"/>
  <c r="J48" i="8" s="1"/>
  <c r="J49" i="8" s="1"/>
  <c r="J50" i="8" s="1"/>
  <c r="J51" i="8" s="1"/>
  <c r="J52" i="8" s="1"/>
  <c r="J53" i="8" s="1"/>
  <c r="J54" i="8" s="1"/>
  <c r="J55" i="8" s="1"/>
  <c r="J56" i="8" s="1"/>
  <c r="J57" i="8" s="1"/>
  <c r="J58" i="8" s="1"/>
  <c r="J59" i="8" s="1"/>
  <c r="J60" i="8" s="1"/>
  <c r="J61" i="8" s="1"/>
  <c r="J62" i="8" s="1"/>
  <c r="J63" i="8" s="1"/>
  <c r="J64" i="8" s="1"/>
  <c r="J65" i="8" s="1"/>
  <c r="J66" i="8" s="1"/>
  <c r="J67" i="8" s="1"/>
  <c r="J68" i="8" s="1"/>
  <c r="J69" i="8" s="1"/>
  <c r="J70" i="8" s="1"/>
  <c r="J71" i="8" s="1"/>
  <c r="J72" i="8" s="1"/>
  <c r="J73" i="8" s="1"/>
  <c r="J74" i="8" s="1"/>
  <c r="J75" i="8" s="1"/>
  <c r="J76" i="8" s="1"/>
  <c r="J77" i="8" s="1"/>
  <c r="J78" i="8" s="1"/>
  <c r="J79" i="8" s="1"/>
  <c r="J80" i="8" s="1"/>
  <c r="J81" i="8" s="1"/>
  <c r="J82" i="8" s="1"/>
  <c r="J83" i="8" s="1"/>
  <c r="J84" i="8" s="1"/>
  <c r="J85" i="8" s="1"/>
  <c r="J86" i="8" s="1"/>
  <c r="J87" i="8" s="1"/>
  <c r="J88" i="8" s="1"/>
  <c r="J89" i="8" s="1"/>
  <c r="J90" i="8" s="1"/>
  <c r="J91" i="8" s="1"/>
  <c r="J92" i="8" s="1"/>
  <c r="J93" i="8" s="1"/>
  <c r="J94" i="8" s="1"/>
  <c r="J95" i="8" s="1"/>
  <c r="J96" i="8" s="1"/>
  <c r="J97" i="8" s="1"/>
  <c r="J98" i="8" s="1"/>
  <c r="J99" i="8" s="1"/>
  <c r="J100" i="8" s="1"/>
  <c r="J101" i="8" s="1"/>
  <c r="J102" i="8" s="1"/>
  <c r="J103" i="8" s="1"/>
  <c r="J104" i="8" s="1"/>
  <c r="J105" i="8" s="1"/>
  <c r="J106" i="8" s="1"/>
  <c r="J107" i="8" s="1"/>
  <c r="J108" i="8" s="1"/>
  <c r="J109" i="8" s="1"/>
  <c r="J110" i="8" s="1"/>
  <c r="J111" i="8" s="1"/>
  <c r="J112" i="8" s="1"/>
  <c r="J113" i="8" s="1"/>
  <c r="J114" i="8" s="1"/>
  <c r="J115" i="8" s="1"/>
  <c r="J116" i="8" s="1"/>
  <c r="J117" i="8" s="1"/>
  <c r="J118" i="8" s="1"/>
  <c r="J119" i="8" s="1"/>
  <c r="J120" i="8" s="1"/>
  <c r="J121" i="8" s="1"/>
  <c r="J122" i="8" s="1"/>
  <c r="J123" i="8" s="1"/>
  <c r="J124" i="8" s="1"/>
  <c r="J125" i="8" s="1"/>
  <c r="J126" i="8" s="1"/>
  <c r="J127" i="8" s="1"/>
  <c r="J128" i="8" s="1"/>
  <c r="J129" i="8" s="1"/>
  <c r="J130" i="8" s="1"/>
  <c r="J131" i="8" s="1"/>
  <c r="J132" i="8" s="1"/>
  <c r="J133" i="8" s="1"/>
  <c r="J134" i="8" s="1"/>
  <c r="J135" i="8" s="1"/>
  <c r="J136" i="8" s="1"/>
  <c r="J137" i="8" s="1"/>
  <c r="J138" i="8" s="1"/>
  <c r="J139" i="8" s="1"/>
  <c r="J140" i="8" s="1"/>
  <c r="J141" i="8" s="1"/>
  <c r="J142" i="8" s="1"/>
  <c r="J143" i="8" s="1"/>
  <c r="J144" i="8" s="1"/>
  <c r="J145" i="8" s="1"/>
  <c r="J146" i="8" s="1"/>
  <c r="J147" i="8" s="1"/>
  <c r="J148" i="8" s="1"/>
  <c r="J149" i="8" s="1"/>
  <c r="J150" i="8" s="1"/>
  <c r="J151" i="8" s="1"/>
  <c r="J152" i="8" s="1"/>
  <c r="J153" i="8" s="1"/>
  <c r="J154" i="8" s="1"/>
  <c r="J155" i="8" s="1"/>
  <c r="J156" i="8" s="1"/>
  <c r="J157" i="8" s="1"/>
  <c r="J158" i="8" s="1"/>
  <c r="J159" i="8" s="1"/>
  <c r="J160" i="8" s="1"/>
  <c r="J161" i="8" s="1"/>
  <c r="J162" i="8" s="1"/>
  <c r="J163" i="8" s="1"/>
  <c r="J164" i="8" s="1"/>
  <c r="J165" i="8" s="1"/>
  <c r="J166" i="8" s="1"/>
  <c r="J167" i="8" s="1"/>
  <c r="J168" i="8" s="1"/>
  <c r="J169" i="8" s="1"/>
  <c r="J170" i="8" s="1"/>
  <c r="J171" i="8" s="1"/>
  <c r="J172" i="8" s="1"/>
  <c r="J173" i="8" s="1"/>
  <c r="J174" i="8" s="1"/>
  <c r="J175" i="8" s="1"/>
  <c r="J176" i="8" s="1"/>
  <c r="J177" i="8" s="1"/>
  <c r="J178" i="8" s="1"/>
  <c r="J179" i="8" s="1"/>
  <c r="J180" i="8" s="1"/>
  <c r="J181" i="8" s="1"/>
  <c r="J182" i="8" s="1"/>
  <c r="J183" i="8" s="1"/>
  <c r="J184" i="8" s="1"/>
  <c r="J185" i="8" s="1"/>
  <c r="J186" i="8" s="1"/>
  <c r="J187" i="8" s="1"/>
  <c r="J188" i="8" s="1"/>
  <c r="J189" i="8" s="1"/>
  <c r="J190" i="8" s="1"/>
  <c r="J191" i="8" s="1"/>
  <c r="J192" i="8" s="1"/>
  <c r="J193" i="8" s="1"/>
  <c r="J194" i="8" s="1"/>
  <c r="J195" i="8" s="1"/>
  <c r="J196" i="8" s="1"/>
  <c r="J197" i="8" s="1"/>
  <c r="J198" i="8" s="1"/>
  <c r="J199" i="8" s="1"/>
  <c r="J200" i="8" s="1"/>
  <c r="J201" i="8" s="1"/>
  <c r="J202" i="8" s="1"/>
  <c r="J203" i="8" s="1"/>
  <c r="J204" i="8" s="1"/>
  <c r="J205" i="8" s="1"/>
  <c r="J206" i="8" s="1"/>
  <c r="J207" i="8" s="1"/>
  <c r="J208" i="8" s="1"/>
  <c r="J209" i="8" s="1"/>
  <c r="J210" i="8" s="1"/>
  <c r="J211" i="8" s="1"/>
  <c r="J212" i="8" s="1"/>
  <c r="J213" i="8" s="1"/>
  <c r="J214" i="8" s="1"/>
  <c r="J215" i="8" s="1"/>
  <c r="J216" i="8" s="1"/>
  <c r="J217" i="8" s="1"/>
  <c r="J218" i="8" s="1"/>
  <c r="J219" i="8" s="1"/>
  <c r="J220" i="8" s="1"/>
  <c r="J221" i="8" s="1"/>
  <c r="J222" i="8" s="1"/>
  <c r="J223" i="8" s="1"/>
  <c r="J224" i="8" s="1"/>
  <c r="J225" i="8" s="1"/>
  <c r="J226" i="8" s="1"/>
  <c r="J227" i="8" s="1"/>
  <c r="J228" i="8" s="1"/>
  <c r="J229" i="8" s="1"/>
  <c r="J230" i="8" s="1"/>
  <c r="J231" i="8" s="1"/>
  <c r="J232" i="8" s="1"/>
  <c r="J233" i="8" s="1"/>
  <c r="J234" i="8" s="1"/>
  <c r="J235" i="8" s="1"/>
  <c r="J236" i="8" s="1"/>
  <c r="J237" i="8" s="1"/>
  <c r="J238" i="8" s="1"/>
  <c r="J239" i="8" s="1"/>
  <c r="J240" i="8" s="1"/>
  <c r="J241" i="8" s="1"/>
  <c r="J242" i="8" s="1"/>
  <c r="J243" i="8" s="1"/>
  <c r="J244" i="8" s="1"/>
  <c r="J245" i="8" s="1"/>
  <c r="J246" i="8" s="1"/>
  <c r="J247" i="8" s="1"/>
  <c r="J248" i="8" s="1"/>
  <c r="J249" i="8" s="1"/>
  <c r="J250" i="8" s="1"/>
  <c r="J251" i="8" s="1"/>
  <c r="J252" i="8" s="1"/>
  <c r="J253" i="8" s="1"/>
  <c r="J254" i="8" s="1"/>
  <c r="J255" i="8" s="1"/>
  <c r="J256" i="8" s="1"/>
  <c r="J257" i="8" s="1"/>
  <c r="J258" i="8" s="1"/>
  <c r="J259" i="8" s="1"/>
  <c r="J260" i="8" s="1"/>
  <c r="J261" i="8" s="1"/>
  <c r="J262" i="8" s="1"/>
  <c r="J263" i="8" s="1"/>
  <c r="J264" i="8" s="1"/>
  <c r="J265" i="8" s="1"/>
  <c r="J266" i="8" s="1"/>
  <c r="J267" i="8" s="1"/>
  <c r="J268" i="8" s="1"/>
  <c r="J269" i="8" s="1"/>
  <c r="J270" i="8" s="1"/>
  <c r="J271" i="8" s="1"/>
  <c r="J272" i="8" s="1"/>
  <c r="J273" i="8" s="1"/>
  <c r="J274" i="8" s="1"/>
  <c r="J275" i="8" s="1"/>
  <c r="J276" i="8" s="1"/>
  <c r="J277" i="8" s="1"/>
  <c r="J278" i="8" s="1"/>
  <c r="J279" i="8" s="1"/>
  <c r="J280" i="8" s="1"/>
  <c r="J281" i="8" s="1"/>
  <c r="J282" i="8" s="1"/>
  <c r="J283" i="8" s="1"/>
  <c r="J284" i="8" s="1"/>
  <c r="J285" i="8" s="1"/>
  <c r="J286" i="8" s="1"/>
  <c r="J287" i="8" s="1"/>
  <c r="J288" i="8" s="1"/>
  <c r="J289" i="8" s="1"/>
  <c r="J290" i="8" s="1"/>
  <c r="J291" i="8" s="1"/>
  <c r="J292" i="8" s="1"/>
  <c r="J293" i="8" s="1"/>
  <c r="J294" i="8" s="1"/>
  <c r="J295" i="8" s="1"/>
  <c r="J296" i="8" s="1"/>
  <c r="J297" i="8" s="1"/>
  <c r="J298" i="8" s="1"/>
  <c r="J299" i="8" s="1"/>
  <c r="J300" i="8" s="1"/>
  <c r="J301" i="8" s="1"/>
  <c r="J302" i="8" s="1"/>
  <c r="J303" i="8" s="1"/>
  <c r="J304" i="8" s="1"/>
  <c r="J305" i="8" s="1"/>
  <c r="J306" i="8" s="1"/>
  <c r="J307" i="8" s="1"/>
  <c r="J308" i="8" s="1"/>
  <c r="J309" i="8" s="1"/>
  <c r="J310" i="8" s="1"/>
  <c r="J311" i="8" s="1"/>
  <c r="J312" i="8" s="1"/>
  <c r="J313" i="8" s="1"/>
  <c r="J314" i="8" s="1"/>
  <c r="J315" i="8" s="1"/>
  <c r="J316" i="8" s="1"/>
  <c r="J317" i="8" s="1"/>
  <c r="J318" i="8" s="1"/>
  <c r="J319" i="8" s="1"/>
  <c r="J320" i="8" s="1"/>
  <c r="J321" i="8" s="1"/>
  <c r="J322" i="8" s="1"/>
  <c r="J323" i="8" s="1"/>
  <c r="J324" i="8" s="1"/>
  <c r="J325" i="8" s="1"/>
  <c r="J326" i="8" s="1"/>
  <c r="J327" i="8" s="1"/>
  <c r="J328" i="8" s="1"/>
  <c r="J329" i="8" s="1"/>
  <c r="J330" i="8" s="1"/>
  <c r="J331" i="8" s="1"/>
  <c r="J332" i="8" s="1"/>
  <c r="J333" i="8" s="1"/>
  <c r="J334" i="8" s="1"/>
  <c r="J335" i="8" s="1"/>
  <c r="J336" i="8" s="1"/>
  <c r="J337" i="8" s="1"/>
  <c r="J338" i="8" s="1"/>
  <c r="J339" i="8" s="1"/>
  <c r="J340" i="8" s="1"/>
  <c r="J341" i="8" s="1"/>
  <c r="J342" i="8" s="1"/>
  <c r="J343" i="8" s="1"/>
  <c r="J344" i="8" s="1"/>
  <c r="J345" i="8" s="1"/>
  <c r="J346" i="8" s="1"/>
  <c r="J347" i="8" s="1"/>
  <c r="J348" i="8" s="1"/>
  <c r="J349" i="8" s="1"/>
  <c r="J350" i="8" s="1"/>
  <c r="J351" i="8" s="1"/>
  <c r="J352" i="8" s="1"/>
  <c r="J353" i="8" s="1"/>
  <c r="J354" i="8" s="1"/>
  <c r="J355" i="8" s="1"/>
  <c r="J356" i="8" s="1"/>
  <c r="J357" i="8" s="1"/>
  <c r="J358" i="8" s="1"/>
  <c r="J359" i="8" s="1"/>
  <c r="J360" i="8" s="1"/>
  <c r="J361" i="8" s="1"/>
  <c r="J362" i="8" s="1"/>
  <c r="J363" i="8" s="1"/>
  <c r="J364" i="8" s="1"/>
  <c r="J365" i="8" s="1"/>
  <c r="J366" i="8" s="1"/>
  <c r="J367" i="8" s="1"/>
  <c r="J368" i="8" s="1"/>
  <c r="J369" i="8" s="1"/>
  <c r="J370" i="8" s="1"/>
  <c r="J371" i="8" s="1"/>
  <c r="J372" i="8" s="1"/>
  <c r="J373" i="8" s="1"/>
  <c r="J374" i="8" s="1"/>
  <c r="J375" i="8" s="1"/>
  <c r="J376" i="8" s="1"/>
  <c r="J377" i="8" s="1"/>
  <c r="J378" i="8" s="1"/>
  <c r="J379" i="8" s="1"/>
  <c r="J380" i="8" s="1"/>
  <c r="J381" i="8" s="1"/>
  <c r="J382" i="8" s="1"/>
  <c r="J383" i="8" s="1"/>
  <c r="J384" i="8" s="1"/>
  <c r="J385" i="8" s="1"/>
  <c r="J386" i="8" s="1"/>
  <c r="J387" i="8" s="1"/>
  <c r="J388" i="8" s="1"/>
  <c r="J389" i="8" s="1"/>
  <c r="J390" i="8" s="1"/>
  <c r="J391" i="8" s="1"/>
  <c r="J392" i="8" s="1"/>
  <c r="J393" i="8" s="1"/>
  <c r="J394" i="8" s="1"/>
  <c r="J395" i="8" s="1"/>
  <c r="J396" i="8" s="1"/>
  <c r="J397" i="8" s="1"/>
  <c r="J398" i="8" s="1"/>
  <c r="J399" i="8" s="1"/>
  <c r="J400" i="8" s="1"/>
  <c r="J401" i="8" s="1"/>
  <c r="J402" i="8" s="1"/>
  <c r="J403" i="8" s="1"/>
  <c r="J404" i="8" s="1"/>
  <c r="J405" i="8" s="1"/>
  <c r="J406" i="8" s="1"/>
  <c r="J407" i="8" s="1"/>
  <c r="J408" i="8" s="1"/>
  <c r="J409" i="8" s="1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10" i="8"/>
  <c r="M6" i="4" l="1"/>
  <c r="P14" i="4" l="1"/>
  <c r="J7" i="4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J218" i="4" s="1"/>
  <c r="J219" i="4" s="1"/>
  <c r="J220" i="4" s="1"/>
  <c r="J221" i="4" s="1"/>
  <c r="J222" i="4" s="1"/>
  <c r="J223" i="4" s="1"/>
  <c r="J224" i="4" s="1"/>
  <c r="J225" i="4" s="1"/>
  <c r="J226" i="4" s="1"/>
  <c r="J227" i="4" s="1"/>
  <c r="J228" i="4" s="1"/>
  <c r="J229" i="4" s="1"/>
  <c r="J230" i="4" s="1"/>
  <c r="J231" i="4" s="1"/>
  <c r="J232" i="4" s="1"/>
  <c r="J233" i="4" s="1"/>
  <c r="J234" i="4" s="1"/>
  <c r="J235" i="4" s="1"/>
  <c r="J236" i="4" s="1"/>
  <c r="J237" i="4" s="1"/>
  <c r="J238" i="4" s="1"/>
  <c r="J239" i="4" s="1"/>
  <c r="J240" i="4" s="1"/>
  <c r="J241" i="4" s="1"/>
  <c r="J242" i="4" s="1"/>
  <c r="J243" i="4" s="1"/>
  <c r="J244" i="4" s="1"/>
  <c r="J245" i="4" s="1"/>
  <c r="J246" i="4" s="1"/>
  <c r="J247" i="4" s="1"/>
  <c r="J248" i="4" s="1"/>
  <c r="J249" i="4" s="1"/>
  <c r="J250" i="4" s="1"/>
  <c r="J251" i="4" s="1"/>
  <c r="J252" i="4" s="1"/>
  <c r="J253" i="4" s="1"/>
  <c r="J254" i="4" s="1"/>
  <c r="J255" i="4" s="1"/>
  <c r="J256" i="4" s="1"/>
  <c r="J257" i="4" s="1"/>
  <c r="J258" i="4" s="1"/>
  <c r="J259" i="4" s="1"/>
  <c r="J260" i="4" s="1"/>
  <c r="J261" i="4" s="1"/>
  <c r="J262" i="4" s="1"/>
  <c r="J263" i="4" s="1"/>
  <c r="J264" i="4" s="1"/>
  <c r="J265" i="4" s="1"/>
  <c r="J266" i="4" s="1"/>
  <c r="J267" i="4" s="1"/>
  <c r="J268" i="4" s="1"/>
  <c r="J269" i="4" s="1"/>
  <c r="J270" i="4" s="1"/>
  <c r="J271" i="4" s="1"/>
  <c r="J272" i="4" s="1"/>
  <c r="J273" i="4" s="1"/>
  <c r="J274" i="4" s="1"/>
  <c r="J275" i="4" s="1"/>
  <c r="J276" i="4" s="1"/>
  <c r="J277" i="4" s="1"/>
  <c r="J278" i="4" s="1"/>
  <c r="J279" i="4" s="1"/>
  <c r="J280" i="4" s="1"/>
  <c r="J281" i="4" s="1"/>
  <c r="J282" i="4" s="1"/>
  <c r="J283" i="4" s="1"/>
  <c r="J284" i="4" s="1"/>
  <c r="J285" i="4" s="1"/>
  <c r="J286" i="4" s="1"/>
  <c r="J287" i="4" s="1"/>
  <c r="J288" i="4" s="1"/>
  <c r="J289" i="4" s="1"/>
  <c r="J290" i="4" s="1"/>
  <c r="J291" i="4" s="1"/>
  <c r="J292" i="4" s="1"/>
  <c r="J293" i="4" s="1"/>
  <c r="J294" i="4" s="1"/>
  <c r="J295" i="4" s="1"/>
  <c r="J296" i="4" s="1"/>
  <c r="J297" i="4" s="1"/>
  <c r="J298" i="4" s="1"/>
  <c r="K3" i="4"/>
  <c r="J3" i="4"/>
  <c r="H7" i="1" s="1"/>
  <c r="J7" i="3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J105" i="3" s="1"/>
  <c r="J106" i="3" s="1"/>
  <c r="J107" i="3" s="1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J123" i="3" s="1"/>
  <c r="J124" i="3" s="1"/>
  <c r="J125" i="3" s="1"/>
  <c r="J126" i="3" s="1"/>
  <c r="J127" i="3" s="1"/>
  <c r="J128" i="3" s="1"/>
  <c r="J129" i="3" s="1"/>
  <c r="J130" i="3" s="1"/>
  <c r="J131" i="3" s="1"/>
  <c r="J132" i="3" s="1"/>
  <c r="J133" i="3" s="1"/>
  <c r="J134" i="3" s="1"/>
  <c r="J135" i="3" s="1"/>
  <c r="J136" i="3" s="1"/>
  <c r="J137" i="3" s="1"/>
  <c r="J138" i="3" s="1"/>
  <c r="J139" i="3" s="1"/>
  <c r="J140" i="3" s="1"/>
  <c r="J141" i="3" s="1"/>
  <c r="J142" i="3" s="1"/>
  <c r="J143" i="3" s="1"/>
  <c r="J144" i="3" s="1"/>
  <c r="J145" i="3" s="1"/>
  <c r="J146" i="3" s="1"/>
  <c r="J147" i="3" s="1"/>
  <c r="J148" i="3" s="1"/>
  <c r="J149" i="3" s="1"/>
  <c r="J150" i="3" s="1"/>
  <c r="J151" i="3" s="1"/>
  <c r="J152" i="3" s="1"/>
  <c r="J153" i="3" s="1"/>
  <c r="J154" i="3" s="1"/>
  <c r="J155" i="3" s="1"/>
  <c r="J156" i="3" s="1"/>
  <c r="J157" i="3" s="1"/>
  <c r="J158" i="3" s="1"/>
  <c r="J159" i="3" s="1"/>
  <c r="J160" i="3" s="1"/>
  <c r="J161" i="3" s="1"/>
  <c r="J162" i="3" s="1"/>
  <c r="J163" i="3" s="1"/>
  <c r="J164" i="3" s="1"/>
  <c r="J165" i="3" s="1"/>
  <c r="J166" i="3" s="1"/>
  <c r="J167" i="3" s="1"/>
  <c r="J168" i="3" s="1"/>
  <c r="J169" i="3" s="1"/>
  <c r="J170" i="3" s="1"/>
  <c r="J171" i="3" s="1"/>
  <c r="J172" i="3" s="1"/>
  <c r="J173" i="3" s="1"/>
  <c r="J174" i="3" s="1"/>
  <c r="J175" i="3" s="1"/>
  <c r="J176" i="3" s="1"/>
  <c r="J177" i="3" s="1"/>
  <c r="J178" i="3" s="1"/>
  <c r="J179" i="3" s="1"/>
  <c r="J180" i="3" s="1"/>
  <c r="J181" i="3" s="1"/>
  <c r="J182" i="3" s="1"/>
  <c r="J183" i="3" s="1"/>
  <c r="J184" i="3" s="1"/>
  <c r="J185" i="3" s="1"/>
  <c r="J186" i="3" s="1"/>
  <c r="J187" i="3" s="1"/>
  <c r="J188" i="3" s="1"/>
  <c r="J189" i="3" s="1"/>
  <c r="J190" i="3" s="1"/>
  <c r="J191" i="3" s="1"/>
  <c r="J192" i="3" s="1"/>
  <c r="J193" i="3" s="1"/>
  <c r="J194" i="3" s="1"/>
  <c r="J195" i="3" s="1"/>
  <c r="J196" i="3" s="1"/>
  <c r="J197" i="3" s="1"/>
  <c r="J198" i="3" s="1"/>
  <c r="J199" i="3" s="1"/>
  <c r="J200" i="3" s="1"/>
  <c r="J201" i="3" s="1"/>
  <c r="J202" i="3" s="1"/>
  <c r="J203" i="3" s="1"/>
  <c r="J204" i="3" s="1"/>
  <c r="J205" i="3" s="1"/>
  <c r="J206" i="3" s="1"/>
  <c r="J207" i="3" s="1"/>
  <c r="J208" i="3" s="1"/>
  <c r="J209" i="3" s="1"/>
  <c r="J210" i="3" s="1"/>
  <c r="J211" i="3" s="1"/>
  <c r="J212" i="3" s="1"/>
  <c r="J213" i="3" s="1"/>
  <c r="J214" i="3" s="1"/>
  <c r="J215" i="3" s="1"/>
  <c r="J216" i="3" s="1"/>
  <c r="J217" i="3" s="1"/>
  <c r="J218" i="3" s="1"/>
  <c r="J219" i="3" s="1"/>
  <c r="J220" i="3" s="1"/>
  <c r="J221" i="3" s="1"/>
  <c r="J222" i="3" s="1"/>
  <c r="J223" i="3" s="1"/>
  <c r="J224" i="3" s="1"/>
  <c r="J225" i="3" s="1"/>
  <c r="J226" i="3" s="1"/>
  <c r="J227" i="3" s="1"/>
  <c r="J228" i="3" s="1"/>
  <c r="J229" i="3" s="1"/>
  <c r="J230" i="3" s="1"/>
  <c r="J231" i="3" s="1"/>
  <c r="J232" i="3" s="1"/>
  <c r="J233" i="3" s="1"/>
  <c r="J234" i="3" s="1"/>
  <c r="J235" i="3" s="1"/>
  <c r="J236" i="3" s="1"/>
  <c r="J237" i="3" s="1"/>
  <c r="J238" i="3" s="1"/>
  <c r="J239" i="3" s="1"/>
  <c r="J240" i="3" s="1"/>
  <c r="J241" i="3" s="1"/>
  <c r="J242" i="3" s="1"/>
  <c r="J243" i="3" s="1"/>
  <c r="J244" i="3" s="1"/>
  <c r="J245" i="3" s="1"/>
  <c r="J246" i="3" s="1"/>
  <c r="J247" i="3" s="1"/>
  <c r="J248" i="3" s="1"/>
  <c r="J249" i="3" s="1"/>
  <c r="J250" i="3" s="1"/>
  <c r="J251" i="3" s="1"/>
  <c r="J252" i="3" s="1"/>
  <c r="J253" i="3" s="1"/>
  <c r="J254" i="3" s="1"/>
  <c r="J255" i="3" s="1"/>
  <c r="J256" i="3" s="1"/>
  <c r="J257" i="3" s="1"/>
  <c r="J258" i="3" s="1"/>
  <c r="J259" i="3" s="1"/>
  <c r="J260" i="3" s="1"/>
  <c r="J261" i="3" s="1"/>
  <c r="J262" i="3" s="1"/>
  <c r="J263" i="3" s="1"/>
  <c r="J264" i="3" s="1"/>
  <c r="J265" i="3" s="1"/>
  <c r="J266" i="3" s="1"/>
  <c r="J267" i="3" s="1"/>
  <c r="J268" i="3" s="1"/>
  <c r="J269" i="3" s="1"/>
  <c r="J270" i="3" s="1"/>
  <c r="J271" i="3" s="1"/>
  <c r="J272" i="3" s="1"/>
  <c r="J273" i="3" s="1"/>
  <c r="J274" i="3" s="1"/>
  <c r="J275" i="3" s="1"/>
  <c r="J276" i="3" s="1"/>
  <c r="J277" i="3" s="1"/>
  <c r="J278" i="3" s="1"/>
  <c r="J279" i="3" s="1"/>
  <c r="J280" i="3" s="1"/>
  <c r="J281" i="3" s="1"/>
  <c r="J282" i="3" s="1"/>
  <c r="J283" i="3" s="1"/>
  <c r="J284" i="3" s="1"/>
  <c r="J285" i="3" s="1"/>
  <c r="J286" i="3" s="1"/>
  <c r="J287" i="3" s="1"/>
  <c r="J288" i="3" s="1"/>
  <c r="J289" i="3" s="1"/>
  <c r="J290" i="3" s="1"/>
  <c r="J291" i="3" s="1"/>
  <c r="J292" i="3" s="1"/>
  <c r="J293" i="3" s="1"/>
  <c r="J294" i="3" s="1"/>
  <c r="J295" i="3" s="1"/>
  <c r="J296" i="3" s="1"/>
  <c r="J297" i="3" s="1"/>
  <c r="J298" i="3" s="1"/>
  <c r="J3" i="3"/>
  <c r="P14" i="3"/>
  <c r="K3" i="3" l="1"/>
  <c r="I3" i="1"/>
</calcChain>
</file>

<file path=xl/sharedStrings.xml><?xml version="1.0" encoding="utf-8"?>
<sst xmlns="http://schemas.openxmlformats.org/spreadsheetml/2006/main" count="2476" uniqueCount="1026">
  <si>
    <t>CODE</t>
  </si>
  <si>
    <t xml:space="preserve"> PHONE NO</t>
  </si>
  <si>
    <t>AB SALAM TANTRAY</t>
  </si>
  <si>
    <t>GH NABI BHAT</t>
  </si>
  <si>
    <t>GH NABI BAKHROO</t>
  </si>
  <si>
    <t>HAJI GH AHMAD MIR</t>
  </si>
  <si>
    <t>GULMARG TRADERS</t>
  </si>
  <si>
    <t>GH MOHD LONE</t>
  </si>
  <si>
    <t xml:space="preserve">HAJI BASHIR </t>
  </si>
  <si>
    <t>LANGOO TRADERS</t>
  </si>
  <si>
    <t>MASTER MOHD MAQBOOL</t>
  </si>
  <si>
    <t>MOHD SULTAN TANTARY</t>
  </si>
  <si>
    <t>SHABIR AHMAD BUTT</t>
  </si>
  <si>
    <t>SANAULLAH DAR</t>
  </si>
  <si>
    <t>HAJI MOHD SULTAN &amp; SONS</t>
  </si>
  <si>
    <t xml:space="preserve">AJAZ AHMAD </t>
  </si>
  <si>
    <t>HAJI GH AHMAD MATTA</t>
  </si>
  <si>
    <t>HAJI AB KARIM BUTT</t>
  </si>
  <si>
    <t>HAJI MOHD AMIAN  ZARGAR</t>
  </si>
  <si>
    <t>GH RASOOL DAR</t>
  </si>
  <si>
    <t xml:space="preserve">HAAMID ALI </t>
  </si>
  <si>
    <t xml:space="preserve">HAJI MOHD AKBAR </t>
  </si>
  <si>
    <t>HAJI MOHD AMIAN SHIEKH</t>
  </si>
  <si>
    <t xml:space="preserve">IQRAM U DIN </t>
  </si>
  <si>
    <t>MOHD SHAAD</t>
  </si>
  <si>
    <t>IQBAL ENTERPRISES</t>
  </si>
  <si>
    <t>IDREES AHMAD BERGI</t>
  </si>
  <si>
    <t>KHAN BROTHERS</t>
  </si>
  <si>
    <t xml:space="preserve">K STAR </t>
  </si>
  <si>
    <t>MEHRAJ U DIN GUPKARI</t>
  </si>
  <si>
    <t>MEHRAJ UDIN WANI</t>
  </si>
  <si>
    <t>MOHD RAFIQ SOFI</t>
  </si>
  <si>
    <t xml:space="preserve">MOHD SYED SHAH </t>
  </si>
  <si>
    <t xml:space="preserve">MOHHD SHAFI </t>
  </si>
  <si>
    <t xml:space="preserve">MOHD MAQBOOL WANI </t>
  </si>
  <si>
    <t>MUSTAQ AHMAD BERGI</t>
  </si>
  <si>
    <t xml:space="preserve">MOLVI MOHD ASLAM </t>
  </si>
  <si>
    <t xml:space="preserve">NAZIR AHMAD TEELI </t>
  </si>
  <si>
    <t>MOHD ASLAM PANDIT</t>
  </si>
  <si>
    <t xml:space="preserve">MOHD IQBAL </t>
  </si>
  <si>
    <t>MOHD RAFIQ GANJOO</t>
  </si>
  <si>
    <t xml:space="preserve">NISAR AHMAD </t>
  </si>
  <si>
    <t>NAZIR AHMAD SHIEKH</t>
  </si>
  <si>
    <t>NAZIR AHMAD GAGROO</t>
  </si>
  <si>
    <t>MOHD SULTAN DAR</t>
  </si>
  <si>
    <t>MOHD YOUSF NOWSHARI</t>
  </si>
  <si>
    <t>SHABIR AHMAD TAPLOO</t>
  </si>
  <si>
    <t>SANI TRADERS</t>
  </si>
  <si>
    <t>SHAH BROTHERS</t>
  </si>
  <si>
    <t xml:space="preserve">SAJAD AHMAD </t>
  </si>
  <si>
    <t>SANJAY SHARMA</t>
  </si>
  <si>
    <t xml:space="preserve">SAMI </t>
  </si>
  <si>
    <t>SHAFFAT AHMAD</t>
  </si>
  <si>
    <t>TEELI ENTERPRISES</t>
  </si>
  <si>
    <t xml:space="preserve">TARIQ AHMAD </t>
  </si>
  <si>
    <t xml:space="preserve">VAKEEL AHMAD </t>
  </si>
  <si>
    <t>Y S ENTERPRISES</t>
  </si>
  <si>
    <t>ZAHOOR AHMAD KHAN</t>
  </si>
  <si>
    <t xml:space="preserve">ZAHID AHMAD </t>
  </si>
  <si>
    <t>SHABIR AHMAD JAVID</t>
  </si>
  <si>
    <t>MOHD TARIQ</t>
  </si>
  <si>
    <t xml:space="preserve">QAMAR U DIN </t>
  </si>
  <si>
    <t>SHAHBAZ</t>
  </si>
  <si>
    <t>MOHD SHAFI PUNJABI</t>
  </si>
  <si>
    <t>TUFAIL NAIKO</t>
  </si>
  <si>
    <t>ZAMEER AHMAD</t>
  </si>
  <si>
    <t>MOHD  ABBAS MALIK</t>
  </si>
  <si>
    <t>MUSHTAQ AHMAD MIR</t>
  </si>
  <si>
    <t>INAYAT ULLAHA KHAN</t>
  </si>
  <si>
    <t xml:space="preserve">MALIK GEN/STORE </t>
  </si>
  <si>
    <t>HAJI GH HASSAIAN NAIKO</t>
  </si>
  <si>
    <t xml:space="preserve">NAZIR AHMAD </t>
  </si>
  <si>
    <t xml:space="preserve">MOHD KALIYA </t>
  </si>
  <si>
    <t>SANAULLAHA GH HASSIAN</t>
  </si>
  <si>
    <t>WALI MOHD GANIE</t>
  </si>
  <si>
    <t>RIYAZ AHMAD SOFI</t>
  </si>
  <si>
    <t>GH MOHD WANI</t>
  </si>
  <si>
    <t>PEER AB GANI</t>
  </si>
  <si>
    <t>ROSHAN IQBAL</t>
  </si>
  <si>
    <t>KULIGAM</t>
  </si>
  <si>
    <t>AB HAMID &amp; CO</t>
  </si>
  <si>
    <t>ALI MOHD LAHARWAL</t>
  </si>
  <si>
    <t>BILAL BHAT</t>
  </si>
  <si>
    <t>BILAL &amp; CO</t>
  </si>
  <si>
    <t>BILAL AHMAD PUNJABI</t>
  </si>
  <si>
    <t>BISMILLAH TRADERS</t>
  </si>
  <si>
    <t>BUTT ENTERPRISES</t>
  </si>
  <si>
    <t>AB QAYOOM SANO</t>
  </si>
  <si>
    <t>BASHIR AHMAD TRUMBO</t>
  </si>
  <si>
    <t>AB RASHID SANO</t>
  </si>
  <si>
    <t xml:space="preserve">AB MAJID </t>
  </si>
  <si>
    <t>ASSADULLAH</t>
  </si>
  <si>
    <t>ALLIEE TRADERS</t>
  </si>
  <si>
    <t>CHA CHA SWEETS</t>
  </si>
  <si>
    <t>DAR &amp; SONS</t>
  </si>
  <si>
    <t xml:space="preserve">DAAR TRADERS </t>
  </si>
  <si>
    <t>FAROOQ AHMAD DAGGA</t>
  </si>
  <si>
    <t>GH MOHD GANIE</t>
  </si>
  <si>
    <t>ANWAR HUSSIAN</t>
  </si>
  <si>
    <t>DANISH MOHD YOUSF</t>
  </si>
  <si>
    <t>GH HASSIAN CHOPAN</t>
  </si>
  <si>
    <t>AB GANI BHAT</t>
  </si>
  <si>
    <t>DR QAYOOM SHAH</t>
  </si>
  <si>
    <t>AB RASHID BUTT</t>
  </si>
  <si>
    <t xml:space="preserve">AB RASHID MIR </t>
  </si>
  <si>
    <t>SUMBAL</t>
  </si>
  <si>
    <t>SOPORA</t>
  </si>
  <si>
    <t>WAGOORAH</t>
  </si>
  <si>
    <t>BUG SOPORA</t>
  </si>
  <si>
    <t>DARA WATERGAM</t>
  </si>
  <si>
    <t>WAILPORA PATTAN</t>
  </si>
  <si>
    <t>SANGAM</t>
  </si>
  <si>
    <t>PATTAN</t>
  </si>
  <si>
    <t>DARO</t>
  </si>
  <si>
    <t>PANZINARA</t>
  </si>
  <si>
    <t>BATMALO</t>
  </si>
  <si>
    <t>CHATTABAL</t>
  </si>
  <si>
    <t>H/BAGH</t>
  </si>
  <si>
    <t>KANGAN</t>
  </si>
  <si>
    <t>MIRGUND</t>
  </si>
  <si>
    <t>M/BAGH</t>
  </si>
  <si>
    <t>BEMINA</t>
  </si>
  <si>
    <t>LALBAZAR</t>
  </si>
  <si>
    <t>CHATABAZAR</t>
  </si>
  <si>
    <t>ZAMPIKADAL</t>
  </si>
  <si>
    <t>PULWAMA</t>
  </si>
  <si>
    <t>K/BAZAR</t>
  </si>
  <si>
    <t>K/NAGAR</t>
  </si>
  <si>
    <t>KHAYAM</t>
  </si>
  <si>
    <t>QAMARWARI</t>
  </si>
  <si>
    <t>NOORBAGH</t>
  </si>
  <si>
    <t>D/MOHLLA</t>
  </si>
  <si>
    <t>BAGI ALI MARDAN KHAN</t>
  </si>
  <si>
    <t>NOWHATTA</t>
  </si>
  <si>
    <t>CHATTERGAM</t>
  </si>
  <si>
    <t>KHAN SAHEB</t>
  </si>
  <si>
    <t>SYEDPORA</t>
  </si>
  <si>
    <t>SHARAAN PUSHKAR</t>
  </si>
  <si>
    <t>H M T</t>
  </si>
  <si>
    <t>NOWSHARA</t>
  </si>
  <si>
    <t>FATHA /KADAL</t>
  </si>
  <si>
    <t>S R GANG</t>
  </si>
  <si>
    <t>K /BAZAR</t>
  </si>
  <si>
    <t>SOIBUG</t>
  </si>
  <si>
    <t>SURUSYAR</t>
  </si>
  <si>
    <t>NAWAKADAL</t>
  </si>
  <si>
    <t>P C DEPO</t>
  </si>
  <si>
    <t>KUPWARA</t>
  </si>
  <si>
    <t>DEVER</t>
  </si>
  <si>
    <t>ARMPORA</t>
  </si>
  <si>
    <t>DRUGMULLA</t>
  </si>
  <si>
    <t>NUTNUS</t>
  </si>
  <si>
    <t>ZURHAMA</t>
  </si>
  <si>
    <t>FAROOQ AHMAD PATTAN</t>
  </si>
  <si>
    <t>FAROOQ AHMAD K.BAZAR</t>
  </si>
  <si>
    <t>FIRDOUS AHMAD SEIKH</t>
  </si>
  <si>
    <t>BALANCE</t>
  </si>
  <si>
    <t>BATMALOO</t>
  </si>
  <si>
    <t>2019-2020</t>
  </si>
  <si>
    <t>AB AHAD MIR</t>
  </si>
  <si>
    <t>NEW GREEN TEA TRADERS</t>
  </si>
  <si>
    <t>TEA MERCHANTS</t>
  </si>
  <si>
    <t>http://www.newgreentea.co.in/</t>
  </si>
  <si>
    <t>DISTRICT</t>
  </si>
  <si>
    <t xml:space="preserve">  LEDGER NO</t>
  </si>
  <si>
    <t>CUSTMER NAME</t>
  </si>
  <si>
    <t>DATE</t>
  </si>
  <si>
    <t>NOTE</t>
  </si>
  <si>
    <t>SALE</t>
  </si>
  <si>
    <t>PAYMENT</t>
  </si>
  <si>
    <t>Bill.no</t>
  </si>
  <si>
    <t>Recp.no</t>
  </si>
  <si>
    <t>REFF</t>
  </si>
  <si>
    <t>N0</t>
  </si>
  <si>
    <t>MODE</t>
  </si>
  <si>
    <t>Cash</t>
  </si>
  <si>
    <t>Cheque</t>
  </si>
  <si>
    <t>NO/DATE</t>
  </si>
  <si>
    <t>Opening Balance</t>
  </si>
  <si>
    <t>A(TEMPLET)</t>
  </si>
  <si>
    <t>TEMPLET</t>
  </si>
  <si>
    <t>3456782,12/4</t>
  </si>
  <si>
    <t>CUST_ID</t>
  </si>
  <si>
    <t>STATE</t>
  </si>
  <si>
    <t>MOBILE</t>
  </si>
  <si>
    <t>FINANCIAL YEAR</t>
  </si>
  <si>
    <t>DATE (TODAY)</t>
  </si>
  <si>
    <t>GO TO SHEET</t>
  </si>
  <si>
    <t>CLICK ME</t>
  </si>
  <si>
    <t>MOBILE NO</t>
  </si>
  <si>
    <t>OPENING BALANCE</t>
  </si>
  <si>
    <t>CLOSING BALANCE</t>
  </si>
  <si>
    <t>SUM OF SALES</t>
  </si>
  <si>
    <t>SUM OF PAYMENTS</t>
  </si>
  <si>
    <t>REF. NO</t>
  </si>
  <si>
    <t>CUST ID:</t>
  </si>
  <si>
    <t>CUST NAME:</t>
  </si>
  <si>
    <t>Tr_CODE</t>
  </si>
  <si>
    <t>C_1</t>
  </si>
  <si>
    <t>C_2</t>
  </si>
  <si>
    <t>C_3</t>
  </si>
  <si>
    <t>C_4</t>
  </si>
  <si>
    <t>C_5</t>
  </si>
  <si>
    <t>C_6</t>
  </si>
  <si>
    <t>C_7</t>
  </si>
  <si>
    <t>C_8</t>
  </si>
  <si>
    <t>C_9</t>
  </si>
  <si>
    <t>C_10</t>
  </si>
  <si>
    <t>C_11</t>
  </si>
  <si>
    <t>C_12</t>
  </si>
  <si>
    <t>C_13</t>
  </si>
  <si>
    <t>C_14</t>
  </si>
  <si>
    <t>C_15</t>
  </si>
  <si>
    <t>C_16</t>
  </si>
  <si>
    <t>C_17</t>
  </si>
  <si>
    <t>C_18</t>
  </si>
  <si>
    <t>C_19</t>
  </si>
  <si>
    <t>C_20</t>
  </si>
  <si>
    <t>C_21</t>
  </si>
  <si>
    <t>C_22</t>
  </si>
  <si>
    <t>C_23</t>
  </si>
  <si>
    <t>C_24</t>
  </si>
  <si>
    <t>C_25</t>
  </si>
  <si>
    <t>C_26</t>
  </si>
  <si>
    <t>C_27</t>
  </si>
  <si>
    <t>C_28</t>
  </si>
  <si>
    <t>C_29</t>
  </si>
  <si>
    <t>C_30</t>
  </si>
  <si>
    <t>C_31</t>
  </si>
  <si>
    <t>C_32</t>
  </si>
  <si>
    <t>C_33</t>
  </si>
  <si>
    <t>C_34</t>
  </si>
  <si>
    <t>C_35</t>
  </si>
  <si>
    <t>C_36</t>
  </si>
  <si>
    <t>C_37</t>
  </si>
  <si>
    <t>C_38</t>
  </si>
  <si>
    <t>C_39</t>
  </si>
  <si>
    <t>C_40</t>
  </si>
  <si>
    <t>C_41</t>
  </si>
  <si>
    <t>C_42</t>
  </si>
  <si>
    <t>C_43</t>
  </si>
  <si>
    <t>C_44</t>
  </si>
  <si>
    <t>C_45</t>
  </si>
  <si>
    <t>C_46</t>
  </si>
  <si>
    <t>C_47</t>
  </si>
  <si>
    <t>C_48</t>
  </si>
  <si>
    <t>C_49</t>
  </si>
  <si>
    <t>C_50</t>
  </si>
  <si>
    <t>C_51</t>
  </si>
  <si>
    <t>C_52</t>
  </si>
  <si>
    <t>C_53</t>
  </si>
  <si>
    <t>C_54</t>
  </si>
  <si>
    <t>C_55</t>
  </si>
  <si>
    <t>C_56</t>
  </si>
  <si>
    <t>C_57</t>
  </si>
  <si>
    <t>C_58</t>
  </si>
  <si>
    <t>C_59</t>
  </si>
  <si>
    <t>C_60</t>
  </si>
  <si>
    <t>C_61</t>
  </si>
  <si>
    <t>C_62</t>
  </si>
  <si>
    <t>C_63</t>
  </si>
  <si>
    <t>C_64</t>
  </si>
  <si>
    <t>C_65</t>
  </si>
  <si>
    <t>C_66</t>
  </si>
  <si>
    <t>C_67</t>
  </si>
  <si>
    <t>C_68</t>
  </si>
  <si>
    <t>C_69</t>
  </si>
  <si>
    <t>C_70</t>
  </si>
  <si>
    <t>C_71</t>
  </si>
  <si>
    <t>C_72</t>
  </si>
  <si>
    <t>C_73</t>
  </si>
  <si>
    <t>C_74</t>
  </si>
  <si>
    <t>C_75</t>
  </si>
  <si>
    <t>C_76</t>
  </si>
  <si>
    <t>C_77</t>
  </si>
  <si>
    <t>C_78</t>
  </si>
  <si>
    <t>C_79</t>
  </si>
  <si>
    <t>C_80</t>
  </si>
  <si>
    <t>C_81</t>
  </si>
  <si>
    <t>C_82</t>
  </si>
  <si>
    <t>C_83</t>
  </si>
  <si>
    <t>C_84</t>
  </si>
  <si>
    <t>C_85</t>
  </si>
  <si>
    <t>C_86</t>
  </si>
  <si>
    <t>C_87</t>
  </si>
  <si>
    <t>C_88</t>
  </si>
  <si>
    <t>C_89</t>
  </si>
  <si>
    <t>C_90</t>
  </si>
  <si>
    <t>C_91</t>
  </si>
  <si>
    <t>C_92</t>
  </si>
  <si>
    <t>C_93</t>
  </si>
  <si>
    <t>C_94</t>
  </si>
  <si>
    <t>C_95</t>
  </si>
  <si>
    <t>C_96</t>
  </si>
  <si>
    <t>C_97</t>
  </si>
  <si>
    <t>C_98</t>
  </si>
  <si>
    <t>C_99</t>
  </si>
  <si>
    <t>C_100</t>
  </si>
  <si>
    <t>C_101</t>
  </si>
  <si>
    <t>C_102</t>
  </si>
  <si>
    <t>C_103</t>
  </si>
  <si>
    <t>C_104</t>
  </si>
  <si>
    <t>C_105</t>
  </si>
  <si>
    <t>C_106</t>
  </si>
  <si>
    <t>C_107</t>
  </si>
  <si>
    <t>C_108</t>
  </si>
  <si>
    <t>C_109</t>
  </si>
  <si>
    <t>C_110</t>
  </si>
  <si>
    <t>C_111</t>
  </si>
  <si>
    <t>C_112</t>
  </si>
  <si>
    <t>C_113</t>
  </si>
  <si>
    <t>C_114</t>
  </si>
  <si>
    <t>C_115</t>
  </si>
  <si>
    <t>C_116</t>
  </si>
  <si>
    <t>C_117</t>
  </si>
  <si>
    <t>C_118</t>
  </si>
  <si>
    <t>C_119</t>
  </si>
  <si>
    <t>C_120</t>
  </si>
  <si>
    <t>C_121</t>
  </si>
  <si>
    <t>C_122</t>
  </si>
  <si>
    <t>C_123</t>
  </si>
  <si>
    <t>C_124</t>
  </si>
  <si>
    <t>C_125</t>
  </si>
  <si>
    <t>C_126</t>
  </si>
  <si>
    <t>C_127</t>
  </si>
  <si>
    <t>C_128</t>
  </si>
  <si>
    <t>C_129</t>
  </si>
  <si>
    <t>C_130</t>
  </si>
  <si>
    <t>C_131</t>
  </si>
  <si>
    <t>C_132</t>
  </si>
  <si>
    <t>C_133</t>
  </si>
  <si>
    <t>C_134</t>
  </si>
  <si>
    <t>C_135</t>
  </si>
  <si>
    <t>C_136</t>
  </si>
  <si>
    <t>C_137</t>
  </si>
  <si>
    <t>C_138</t>
  </si>
  <si>
    <t>C_139</t>
  </si>
  <si>
    <t>C_140</t>
  </si>
  <si>
    <t>C_141</t>
  </si>
  <si>
    <t>C_142</t>
  </si>
  <si>
    <t>C_143</t>
  </si>
  <si>
    <t>C_144</t>
  </si>
  <si>
    <t>C_145</t>
  </si>
  <si>
    <t>C_146</t>
  </si>
  <si>
    <t>C_147</t>
  </si>
  <si>
    <t>C_148</t>
  </si>
  <si>
    <t>C_149</t>
  </si>
  <si>
    <t>C_150</t>
  </si>
  <si>
    <t>C_151</t>
  </si>
  <si>
    <t>C_152</t>
  </si>
  <si>
    <t>C_153</t>
  </si>
  <si>
    <t>C_154</t>
  </si>
  <si>
    <t>C_155</t>
  </si>
  <si>
    <t>C_156</t>
  </si>
  <si>
    <t>C_157</t>
  </si>
  <si>
    <t>C_158</t>
  </si>
  <si>
    <t>C_159</t>
  </si>
  <si>
    <t>C_160</t>
  </si>
  <si>
    <t>C_161</t>
  </si>
  <si>
    <t>C_162</t>
  </si>
  <si>
    <t>C_163</t>
  </si>
  <si>
    <t>C_164</t>
  </si>
  <si>
    <t>C_165</t>
  </si>
  <si>
    <t>C_166</t>
  </si>
  <si>
    <t>C_167</t>
  </si>
  <si>
    <t>C_168</t>
  </si>
  <si>
    <t>C_169</t>
  </si>
  <si>
    <t>C_170</t>
  </si>
  <si>
    <t>C_171</t>
  </si>
  <si>
    <t>C_172</t>
  </si>
  <si>
    <t>C_173</t>
  </si>
  <si>
    <t>C_174</t>
  </si>
  <si>
    <t>C_175</t>
  </si>
  <si>
    <t>C_176</t>
  </si>
  <si>
    <t>C_177</t>
  </si>
  <si>
    <t>C_178</t>
  </si>
  <si>
    <t>C_179</t>
  </si>
  <si>
    <t>C_180</t>
  </si>
  <si>
    <t>C_181</t>
  </si>
  <si>
    <t>C_182</t>
  </si>
  <si>
    <t>C_183</t>
  </si>
  <si>
    <t>C_184</t>
  </si>
  <si>
    <t>C_185</t>
  </si>
  <si>
    <t>C_186</t>
  </si>
  <si>
    <t>C_187</t>
  </si>
  <si>
    <t>C_188</t>
  </si>
  <si>
    <t>C_189</t>
  </si>
  <si>
    <t>C_190</t>
  </si>
  <si>
    <t>C_191</t>
  </si>
  <si>
    <t>C_192</t>
  </si>
  <si>
    <t>C_193</t>
  </si>
  <si>
    <t>C_194</t>
  </si>
  <si>
    <t>C_195</t>
  </si>
  <si>
    <t>C_196</t>
  </si>
  <si>
    <t>C_197</t>
  </si>
  <si>
    <t>C_198</t>
  </si>
  <si>
    <t>C_199</t>
  </si>
  <si>
    <t>C_200</t>
  </si>
  <si>
    <t>C_201</t>
  </si>
  <si>
    <t>C_202</t>
  </si>
  <si>
    <t>C_203</t>
  </si>
  <si>
    <t>C_204</t>
  </si>
  <si>
    <t>C_205</t>
  </si>
  <si>
    <t>C_206</t>
  </si>
  <si>
    <t>C_207</t>
  </si>
  <si>
    <t>C_208</t>
  </si>
  <si>
    <t>C_209</t>
  </si>
  <si>
    <t>C_210</t>
  </si>
  <si>
    <t>C_211</t>
  </si>
  <si>
    <t>C_212</t>
  </si>
  <si>
    <t>C_213</t>
  </si>
  <si>
    <t>C_214</t>
  </si>
  <si>
    <t>C_215</t>
  </si>
  <si>
    <t>C_216</t>
  </si>
  <si>
    <t>C_217</t>
  </si>
  <si>
    <t>C_218</t>
  </si>
  <si>
    <t>C_219</t>
  </si>
  <si>
    <t>C_220</t>
  </si>
  <si>
    <t>C_221</t>
  </si>
  <si>
    <t>C_222</t>
  </si>
  <si>
    <t>C_223</t>
  </si>
  <si>
    <t>C_224</t>
  </si>
  <si>
    <t>C_225</t>
  </si>
  <si>
    <t>C_226</t>
  </si>
  <si>
    <t>C_227</t>
  </si>
  <si>
    <t>C_228</t>
  </si>
  <si>
    <t>C_229</t>
  </si>
  <si>
    <t>C_230</t>
  </si>
  <si>
    <t>C_231</t>
  </si>
  <si>
    <t>C_232</t>
  </si>
  <si>
    <t>C_233</t>
  </si>
  <si>
    <t>C_234</t>
  </si>
  <si>
    <t>C_235</t>
  </si>
  <si>
    <t>C_236</t>
  </si>
  <si>
    <t>C_237</t>
  </si>
  <si>
    <t>C_238</t>
  </si>
  <si>
    <t>C_239</t>
  </si>
  <si>
    <t>C_240</t>
  </si>
  <si>
    <t>C_241</t>
  </si>
  <si>
    <t>C_242</t>
  </si>
  <si>
    <t>C_243</t>
  </si>
  <si>
    <t>C_244</t>
  </si>
  <si>
    <t>C_245</t>
  </si>
  <si>
    <t>C_246</t>
  </si>
  <si>
    <t>C_247</t>
  </si>
  <si>
    <t>C_248</t>
  </si>
  <si>
    <t>C_249</t>
  </si>
  <si>
    <t>C_250</t>
  </si>
  <si>
    <t>C_251</t>
  </si>
  <si>
    <t>C_252</t>
  </si>
  <si>
    <t>C_253</t>
  </si>
  <si>
    <t>C_254</t>
  </si>
  <si>
    <t>C_255</t>
  </si>
  <si>
    <t>C_256</t>
  </si>
  <si>
    <t>C_257</t>
  </si>
  <si>
    <t>C_258</t>
  </si>
  <si>
    <t>C_259</t>
  </si>
  <si>
    <t>C_260</t>
  </si>
  <si>
    <t>C_261</t>
  </si>
  <si>
    <t>C_262</t>
  </si>
  <si>
    <t>C_263</t>
  </si>
  <si>
    <t>C_264</t>
  </si>
  <si>
    <t>C_265</t>
  </si>
  <si>
    <t>C_266</t>
  </si>
  <si>
    <t>C_267</t>
  </si>
  <si>
    <t>C_268</t>
  </si>
  <si>
    <t>C_269</t>
  </si>
  <si>
    <t>C_270</t>
  </si>
  <si>
    <t>C_271</t>
  </si>
  <si>
    <t>C_272</t>
  </si>
  <si>
    <t>C_273</t>
  </si>
  <si>
    <t>C_274</t>
  </si>
  <si>
    <t>C_275</t>
  </si>
  <si>
    <t>C_276</t>
  </si>
  <si>
    <t>C_277</t>
  </si>
  <si>
    <t>C_278</t>
  </si>
  <si>
    <t>C_279</t>
  </si>
  <si>
    <t>C_280</t>
  </si>
  <si>
    <t>C_281</t>
  </si>
  <si>
    <t>C_282</t>
  </si>
  <si>
    <t>C_283</t>
  </si>
  <si>
    <t>C_284</t>
  </si>
  <si>
    <t>C_285</t>
  </si>
  <si>
    <t>C_286</t>
  </si>
  <si>
    <t>C_287</t>
  </si>
  <si>
    <t>C_288</t>
  </si>
  <si>
    <t>C_289</t>
  </si>
  <si>
    <t>C_290</t>
  </si>
  <si>
    <t>C_291</t>
  </si>
  <si>
    <t>C_292</t>
  </si>
  <si>
    <t>C_293</t>
  </si>
  <si>
    <t>C_294</t>
  </si>
  <si>
    <t>C_295</t>
  </si>
  <si>
    <t>C_296</t>
  </si>
  <si>
    <t>C_297</t>
  </si>
  <si>
    <t>C_298</t>
  </si>
  <si>
    <t>C_299</t>
  </si>
  <si>
    <t>C_300</t>
  </si>
  <si>
    <t>C_301</t>
  </si>
  <si>
    <t>C_302</t>
  </si>
  <si>
    <t>C_303</t>
  </si>
  <si>
    <t>C_304</t>
  </si>
  <si>
    <t>C_305</t>
  </si>
  <si>
    <t>C_306</t>
  </si>
  <si>
    <t>C_307</t>
  </si>
  <si>
    <t>C_308</t>
  </si>
  <si>
    <t>C_309</t>
  </si>
  <si>
    <t>C_310</t>
  </si>
  <si>
    <t>C_311</t>
  </si>
  <si>
    <t>C_312</t>
  </si>
  <si>
    <t>C_313</t>
  </si>
  <si>
    <t>C_314</t>
  </si>
  <si>
    <t>C_315</t>
  </si>
  <si>
    <t>C_316</t>
  </si>
  <si>
    <t>C_317</t>
  </si>
  <si>
    <t>C_318</t>
  </si>
  <si>
    <t>C_319</t>
  </si>
  <si>
    <t>C_320</t>
  </si>
  <si>
    <t>C_321</t>
  </si>
  <si>
    <t>C_322</t>
  </si>
  <si>
    <t>C_323</t>
  </si>
  <si>
    <t>C_324</t>
  </si>
  <si>
    <t>C_325</t>
  </si>
  <si>
    <t>C_326</t>
  </si>
  <si>
    <t>C_327</t>
  </si>
  <si>
    <t>C_328</t>
  </si>
  <si>
    <t>C_329</t>
  </si>
  <si>
    <t>C_330</t>
  </si>
  <si>
    <t>C_331</t>
  </si>
  <si>
    <t>C_332</t>
  </si>
  <si>
    <t>C_333</t>
  </si>
  <si>
    <t>C_334</t>
  </si>
  <si>
    <t>C_335</t>
  </si>
  <si>
    <t>C_336</t>
  </si>
  <si>
    <t>C_337</t>
  </si>
  <si>
    <t>C_338</t>
  </si>
  <si>
    <t>C_339</t>
  </si>
  <si>
    <t>C_340</t>
  </si>
  <si>
    <t>C_341</t>
  </si>
  <si>
    <t>C_342</t>
  </si>
  <si>
    <t>C_343</t>
  </si>
  <si>
    <t>C_344</t>
  </si>
  <si>
    <t>C_345</t>
  </si>
  <si>
    <t>C_346</t>
  </si>
  <si>
    <t>C_347</t>
  </si>
  <si>
    <t>C_348</t>
  </si>
  <si>
    <t>C_349</t>
  </si>
  <si>
    <t>C_350</t>
  </si>
  <si>
    <t>C_351</t>
  </si>
  <si>
    <t>C_352</t>
  </si>
  <si>
    <t>C_353</t>
  </si>
  <si>
    <t>C_354</t>
  </si>
  <si>
    <t>C_355</t>
  </si>
  <si>
    <t>C_356</t>
  </si>
  <si>
    <t>C_357</t>
  </si>
  <si>
    <t>C_358</t>
  </si>
  <si>
    <t>C_359</t>
  </si>
  <si>
    <t>C_360</t>
  </si>
  <si>
    <t>C_361</t>
  </si>
  <si>
    <t>C_362</t>
  </si>
  <si>
    <t>C_363</t>
  </si>
  <si>
    <t>C_364</t>
  </si>
  <si>
    <t>C_365</t>
  </si>
  <si>
    <t>C_366</t>
  </si>
  <si>
    <t>C_367</t>
  </si>
  <si>
    <t>C_368</t>
  </si>
  <si>
    <t>C_369</t>
  </si>
  <si>
    <t>C_370</t>
  </si>
  <si>
    <t>C_371</t>
  </si>
  <si>
    <t>C_372</t>
  </si>
  <si>
    <t>C_373</t>
  </si>
  <si>
    <t>C_374</t>
  </si>
  <si>
    <t>C_375</t>
  </si>
  <si>
    <t>C_376</t>
  </si>
  <si>
    <t>C_377</t>
  </si>
  <si>
    <t>C_378</t>
  </si>
  <si>
    <t>C_379</t>
  </si>
  <si>
    <t>C_380</t>
  </si>
  <si>
    <t>C_381</t>
  </si>
  <si>
    <t>C_382</t>
  </si>
  <si>
    <t>C_383</t>
  </si>
  <si>
    <t>C_384</t>
  </si>
  <si>
    <t>C_385</t>
  </si>
  <si>
    <t>C_386</t>
  </si>
  <si>
    <t>C_387</t>
  </si>
  <si>
    <t>C_388</t>
  </si>
  <si>
    <t>C_389</t>
  </si>
  <si>
    <t>C_390</t>
  </si>
  <si>
    <t>C_391</t>
  </si>
  <si>
    <t>C_392</t>
  </si>
  <si>
    <t>C_393</t>
  </si>
  <si>
    <t>C_394</t>
  </si>
  <si>
    <t>C_395</t>
  </si>
  <si>
    <t>C_396</t>
  </si>
  <si>
    <t>C_397</t>
  </si>
  <si>
    <t>C_398</t>
  </si>
  <si>
    <t>C_399</t>
  </si>
  <si>
    <t>C_400</t>
  </si>
  <si>
    <t>Tr_1</t>
  </si>
  <si>
    <t>Tr_2</t>
  </si>
  <si>
    <t>Tr_3</t>
  </si>
  <si>
    <t>Tr_4</t>
  </si>
  <si>
    <t>Tr_5</t>
  </si>
  <si>
    <t>Tr_6</t>
  </si>
  <si>
    <t>Tr_7</t>
  </si>
  <si>
    <t>Tr_8</t>
  </si>
  <si>
    <t>Tr_9</t>
  </si>
  <si>
    <t>Tr_10</t>
  </si>
  <si>
    <t>Tr_11</t>
  </si>
  <si>
    <t>Tr_12</t>
  </si>
  <si>
    <t>Tr_13</t>
  </si>
  <si>
    <t>Tr_14</t>
  </si>
  <si>
    <t>Tr_15</t>
  </si>
  <si>
    <t>Tr_16</t>
  </si>
  <si>
    <t>Tr_17</t>
  </si>
  <si>
    <t>Tr_18</t>
  </si>
  <si>
    <t>Tr_19</t>
  </si>
  <si>
    <t>Tr_20</t>
  </si>
  <si>
    <t>Tr_21</t>
  </si>
  <si>
    <t>Tr_22</t>
  </si>
  <si>
    <t>Tr_23</t>
  </si>
  <si>
    <t>Tr_24</t>
  </si>
  <si>
    <t>Tr_25</t>
  </si>
  <si>
    <t>Tr_26</t>
  </si>
  <si>
    <t>Tr_27</t>
  </si>
  <si>
    <t>Tr_28</t>
  </si>
  <si>
    <t>Tr_29</t>
  </si>
  <si>
    <t>Tr_30</t>
  </si>
  <si>
    <t>Tr_31</t>
  </si>
  <si>
    <t>Tr_32</t>
  </si>
  <si>
    <t>Tr_33</t>
  </si>
  <si>
    <t>Tr_34</t>
  </si>
  <si>
    <t>Tr_35</t>
  </si>
  <si>
    <t>Tr_36</t>
  </si>
  <si>
    <t>Tr_37</t>
  </si>
  <si>
    <t>Tr_38</t>
  </si>
  <si>
    <t>Tr_39</t>
  </si>
  <si>
    <t>Tr_40</t>
  </si>
  <si>
    <t>Tr_41</t>
  </si>
  <si>
    <t>Tr_42</t>
  </si>
  <si>
    <t>Tr_43</t>
  </si>
  <si>
    <t>Tr_44</t>
  </si>
  <si>
    <t>Tr_45</t>
  </si>
  <si>
    <t>Tr_46</t>
  </si>
  <si>
    <t>Tr_47</t>
  </si>
  <si>
    <t>Tr_48</t>
  </si>
  <si>
    <t>Tr_49</t>
  </si>
  <si>
    <t>Tr_50</t>
  </si>
  <si>
    <t>Tr_51</t>
  </si>
  <si>
    <t>Tr_52</t>
  </si>
  <si>
    <t>Tr_53</t>
  </si>
  <si>
    <t>Tr_54</t>
  </si>
  <si>
    <t>Tr_55</t>
  </si>
  <si>
    <t>Tr_56</t>
  </si>
  <si>
    <t>Tr_57</t>
  </si>
  <si>
    <t>Tr_58</t>
  </si>
  <si>
    <t>Tr_59</t>
  </si>
  <si>
    <t>Tr_60</t>
  </si>
  <si>
    <t>Tr_61</t>
  </si>
  <si>
    <t>Tr_62</t>
  </si>
  <si>
    <t>Tr_63</t>
  </si>
  <si>
    <t>Tr_64</t>
  </si>
  <si>
    <t>Tr_65</t>
  </si>
  <si>
    <t>Tr_66</t>
  </si>
  <si>
    <t>Tr_67</t>
  </si>
  <si>
    <t>Tr_68</t>
  </si>
  <si>
    <t>Tr_69</t>
  </si>
  <si>
    <t>Tr_70</t>
  </si>
  <si>
    <t>Tr_71</t>
  </si>
  <si>
    <t>Tr_72</t>
  </si>
  <si>
    <t>Tr_73</t>
  </si>
  <si>
    <t>Tr_74</t>
  </si>
  <si>
    <t>Tr_75</t>
  </si>
  <si>
    <t>Tr_76</t>
  </si>
  <si>
    <t>Tr_77</t>
  </si>
  <si>
    <t>Tr_78</t>
  </si>
  <si>
    <t>Tr_79</t>
  </si>
  <si>
    <t>Tr_80</t>
  </si>
  <si>
    <t>Tr_81</t>
  </si>
  <si>
    <t>Tr_82</t>
  </si>
  <si>
    <t>Tr_83</t>
  </si>
  <si>
    <t>Tr_84</t>
  </si>
  <si>
    <t>Tr_85</t>
  </si>
  <si>
    <t>Tr_86</t>
  </si>
  <si>
    <t>Tr_87</t>
  </si>
  <si>
    <t>Tr_88</t>
  </si>
  <si>
    <t>Tr_89</t>
  </si>
  <si>
    <t>Tr_90</t>
  </si>
  <si>
    <t>Tr_91</t>
  </si>
  <si>
    <t>Tr_92</t>
  </si>
  <si>
    <t>Tr_93</t>
  </si>
  <si>
    <t>Tr_94</t>
  </si>
  <si>
    <t>Tr_95</t>
  </si>
  <si>
    <t>Tr_96</t>
  </si>
  <si>
    <t>Tr_97</t>
  </si>
  <si>
    <t>Tr_98</t>
  </si>
  <si>
    <t>Tr_99</t>
  </si>
  <si>
    <t>Tr_100</t>
  </si>
  <si>
    <t>Tr_101</t>
  </si>
  <si>
    <t>Tr_102</t>
  </si>
  <si>
    <t>Tr_103</t>
  </si>
  <si>
    <t>Tr_104</t>
  </si>
  <si>
    <t>Tr_105</t>
  </si>
  <si>
    <t>Tr_106</t>
  </si>
  <si>
    <t>Tr_107</t>
  </si>
  <si>
    <t>Tr_108</t>
  </si>
  <si>
    <t>Tr_109</t>
  </si>
  <si>
    <t>Tr_110</t>
  </si>
  <si>
    <t>Tr_111</t>
  </si>
  <si>
    <t>Tr_112</t>
  </si>
  <si>
    <t>Tr_113</t>
  </si>
  <si>
    <t>Tr_114</t>
  </si>
  <si>
    <t>Tr_115</t>
  </si>
  <si>
    <t>Tr_116</t>
  </si>
  <si>
    <t>Tr_117</t>
  </si>
  <si>
    <t>Tr_118</t>
  </si>
  <si>
    <t>Tr_119</t>
  </si>
  <si>
    <t>Tr_120</t>
  </si>
  <si>
    <t>Tr_121</t>
  </si>
  <si>
    <t>Tr_122</t>
  </si>
  <si>
    <t>Tr_123</t>
  </si>
  <si>
    <t>Tr_124</t>
  </si>
  <si>
    <t>Tr_125</t>
  </si>
  <si>
    <t>Tr_126</t>
  </si>
  <si>
    <t>Tr_127</t>
  </si>
  <si>
    <t>Tr_128</t>
  </si>
  <si>
    <t>Tr_129</t>
  </si>
  <si>
    <t>Tr_130</t>
  </si>
  <si>
    <t>Tr_131</t>
  </si>
  <si>
    <t>Tr_132</t>
  </si>
  <si>
    <t>Tr_133</t>
  </si>
  <si>
    <t>Tr_134</t>
  </si>
  <si>
    <t>Tr_135</t>
  </si>
  <si>
    <t>Tr_136</t>
  </si>
  <si>
    <t>Tr_137</t>
  </si>
  <si>
    <t>Tr_138</t>
  </si>
  <si>
    <t>Tr_139</t>
  </si>
  <si>
    <t>Tr_140</t>
  </si>
  <si>
    <t>Tr_141</t>
  </si>
  <si>
    <t>Tr_142</t>
  </si>
  <si>
    <t>Tr_143</t>
  </si>
  <si>
    <t>Tr_144</t>
  </si>
  <si>
    <t>Tr_145</t>
  </si>
  <si>
    <t>Tr_146</t>
  </si>
  <si>
    <t>Tr_147</t>
  </si>
  <si>
    <t>Tr_148</t>
  </si>
  <si>
    <t>Tr_149</t>
  </si>
  <si>
    <t>Tr_150</t>
  </si>
  <si>
    <t>Tr_151</t>
  </si>
  <si>
    <t>Tr_152</t>
  </si>
  <si>
    <t>Tr_153</t>
  </si>
  <si>
    <t>Tr_154</t>
  </si>
  <si>
    <t>Tr_155</t>
  </si>
  <si>
    <t>Tr_156</t>
  </si>
  <si>
    <t>Tr_157</t>
  </si>
  <si>
    <t>Tr_158</t>
  </si>
  <si>
    <t>Tr_159</t>
  </si>
  <si>
    <t>Tr_160</t>
  </si>
  <si>
    <t>Tr_161</t>
  </si>
  <si>
    <t>Tr_162</t>
  </si>
  <si>
    <t>Tr_163</t>
  </si>
  <si>
    <t>Tr_164</t>
  </si>
  <si>
    <t>Tr_165</t>
  </si>
  <si>
    <t>Tr_166</t>
  </si>
  <si>
    <t>Tr_167</t>
  </si>
  <si>
    <t>Tr_168</t>
  </si>
  <si>
    <t>Tr_169</t>
  </si>
  <si>
    <t>Tr_170</t>
  </si>
  <si>
    <t>Tr_171</t>
  </si>
  <si>
    <t>Tr_172</t>
  </si>
  <si>
    <t>Tr_173</t>
  </si>
  <si>
    <t>Tr_174</t>
  </si>
  <si>
    <t>Tr_175</t>
  </si>
  <si>
    <t>Tr_176</t>
  </si>
  <si>
    <t>Tr_177</t>
  </si>
  <si>
    <t>Tr_178</t>
  </si>
  <si>
    <t>Tr_179</t>
  </si>
  <si>
    <t>Tr_180</t>
  </si>
  <si>
    <t>Tr_181</t>
  </si>
  <si>
    <t>Tr_182</t>
  </si>
  <si>
    <t>Tr_183</t>
  </si>
  <si>
    <t>Tr_184</t>
  </si>
  <si>
    <t>Tr_185</t>
  </si>
  <si>
    <t>Tr_186</t>
  </si>
  <si>
    <t>Tr_187</t>
  </si>
  <si>
    <t>Tr_188</t>
  </si>
  <si>
    <t>Tr_189</t>
  </si>
  <si>
    <t>Tr_190</t>
  </si>
  <si>
    <t>Tr_191</t>
  </si>
  <si>
    <t>Tr_192</t>
  </si>
  <si>
    <t>Tr_193</t>
  </si>
  <si>
    <t>Tr_194</t>
  </si>
  <si>
    <t>Tr_195</t>
  </si>
  <si>
    <t>Tr_196</t>
  </si>
  <si>
    <t>Tr_197</t>
  </si>
  <si>
    <t>Tr_198</t>
  </si>
  <si>
    <t>Tr_199</t>
  </si>
  <si>
    <t>Tr_200</t>
  </si>
  <si>
    <t>Tr_201</t>
  </si>
  <si>
    <t>Tr_202</t>
  </si>
  <si>
    <t>Tr_203</t>
  </si>
  <si>
    <t>Tr_204</t>
  </si>
  <si>
    <t>Tr_205</t>
  </si>
  <si>
    <t>Tr_206</t>
  </si>
  <si>
    <t>Tr_207</t>
  </si>
  <si>
    <t>Tr_208</t>
  </si>
  <si>
    <t>Tr_209</t>
  </si>
  <si>
    <t>Tr_210</t>
  </si>
  <si>
    <t>Tr_211</t>
  </si>
  <si>
    <t>Tr_212</t>
  </si>
  <si>
    <t>Tr_213</t>
  </si>
  <si>
    <t>Tr_214</t>
  </si>
  <si>
    <t>Tr_215</t>
  </si>
  <si>
    <t>Tr_216</t>
  </si>
  <si>
    <t>Tr_217</t>
  </si>
  <si>
    <t>Tr_218</t>
  </si>
  <si>
    <t>Tr_219</t>
  </si>
  <si>
    <t>Tr_220</t>
  </si>
  <si>
    <t>Tr_221</t>
  </si>
  <si>
    <t>Tr_222</t>
  </si>
  <si>
    <t>Tr_223</t>
  </si>
  <si>
    <t>Tr_224</t>
  </si>
  <si>
    <t>Tr_225</t>
  </si>
  <si>
    <t>Tr_226</t>
  </si>
  <si>
    <t>Tr_227</t>
  </si>
  <si>
    <t>Tr_228</t>
  </si>
  <si>
    <t>Tr_229</t>
  </si>
  <si>
    <t>Tr_230</t>
  </si>
  <si>
    <t>Tr_231</t>
  </si>
  <si>
    <t>Tr_232</t>
  </si>
  <si>
    <t>Tr_233</t>
  </si>
  <si>
    <t>Tr_234</t>
  </si>
  <si>
    <t>Tr_235</t>
  </si>
  <si>
    <t>Tr_236</t>
  </si>
  <si>
    <t>Tr_237</t>
  </si>
  <si>
    <t>Tr_238</t>
  </si>
  <si>
    <t>Tr_239</t>
  </si>
  <si>
    <t>Tr_240</t>
  </si>
  <si>
    <t>Tr_241</t>
  </si>
  <si>
    <t>Tr_242</t>
  </si>
  <si>
    <t>Tr_243</t>
  </si>
  <si>
    <t>Tr_244</t>
  </si>
  <si>
    <t>Tr_245</t>
  </si>
  <si>
    <t>Tr_246</t>
  </si>
  <si>
    <t>Tr_247</t>
  </si>
  <si>
    <t>Tr_248</t>
  </si>
  <si>
    <t>Tr_249</t>
  </si>
  <si>
    <t>Tr_250</t>
  </si>
  <si>
    <t>Tr_251</t>
  </si>
  <si>
    <t>Tr_252</t>
  </si>
  <si>
    <t>Tr_253</t>
  </si>
  <si>
    <t>Tr_254</t>
  </si>
  <si>
    <t>Tr_255</t>
  </si>
  <si>
    <t>Tr_256</t>
  </si>
  <si>
    <t>Tr_257</t>
  </si>
  <si>
    <t>Tr_258</t>
  </si>
  <si>
    <t>Tr_259</t>
  </si>
  <si>
    <t>Tr_260</t>
  </si>
  <si>
    <t>Tr_261</t>
  </si>
  <si>
    <t>Tr_262</t>
  </si>
  <si>
    <t>Tr_263</t>
  </si>
  <si>
    <t>Tr_264</t>
  </si>
  <si>
    <t>Tr_265</t>
  </si>
  <si>
    <t>Tr_266</t>
  </si>
  <si>
    <t>Tr_267</t>
  </si>
  <si>
    <t>Tr_268</t>
  </si>
  <si>
    <t>Tr_269</t>
  </si>
  <si>
    <t>Tr_270</t>
  </si>
  <si>
    <t>Tr_271</t>
  </si>
  <si>
    <t>Tr_272</t>
  </si>
  <si>
    <t>Tr_273</t>
  </si>
  <si>
    <t>Tr_274</t>
  </si>
  <si>
    <t>Tr_275</t>
  </si>
  <si>
    <t>Tr_276</t>
  </si>
  <si>
    <t>Tr_277</t>
  </si>
  <si>
    <t>Tr_278</t>
  </si>
  <si>
    <t>Tr_279</t>
  </si>
  <si>
    <t>Tr_280</t>
  </si>
  <si>
    <t>Tr_281</t>
  </si>
  <si>
    <t>Tr_282</t>
  </si>
  <si>
    <t>Tr_283</t>
  </si>
  <si>
    <t>Tr_284</t>
  </si>
  <si>
    <t>Tr_285</t>
  </si>
  <si>
    <t>Tr_286</t>
  </si>
  <si>
    <t>Tr_287</t>
  </si>
  <si>
    <t>Tr_288</t>
  </si>
  <si>
    <t>Tr_289</t>
  </si>
  <si>
    <t>Tr_290</t>
  </si>
  <si>
    <t>Tr_291</t>
  </si>
  <si>
    <t>Tr_292</t>
  </si>
  <si>
    <t>Tr_293</t>
  </si>
  <si>
    <t>Tr_294</t>
  </si>
  <si>
    <t>Tr_295</t>
  </si>
  <si>
    <t>Tr_296</t>
  </si>
  <si>
    <t>Tr_297</t>
  </si>
  <si>
    <t>Tr_298</t>
  </si>
  <si>
    <t>Tr_299</t>
  </si>
  <si>
    <t>Tr_300</t>
  </si>
  <si>
    <t>Tr_301</t>
  </si>
  <si>
    <t>Tr_302</t>
  </si>
  <si>
    <t>Tr_303</t>
  </si>
  <si>
    <t>Tr_304</t>
  </si>
  <si>
    <t>Tr_305</t>
  </si>
  <si>
    <t>Tr_306</t>
  </si>
  <si>
    <t>Tr_307</t>
  </si>
  <si>
    <t>Tr_308</t>
  </si>
  <si>
    <t>Tr_309</t>
  </si>
  <si>
    <t>Tr_310</t>
  </si>
  <si>
    <t>Tr_311</t>
  </si>
  <si>
    <t>Tr_312</t>
  </si>
  <si>
    <t>Tr_313</t>
  </si>
  <si>
    <t>Tr_314</t>
  </si>
  <si>
    <t>Tr_315</t>
  </si>
  <si>
    <t>Tr_316</t>
  </si>
  <si>
    <t>Tr_317</t>
  </si>
  <si>
    <t>Tr_318</t>
  </si>
  <si>
    <t>Tr_319</t>
  </si>
  <si>
    <t>Tr_320</t>
  </si>
  <si>
    <t>Tr_321</t>
  </si>
  <si>
    <t>Tr_322</t>
  </si>
  <si>
    <t>Tr_323</t>
  </si>
  <si>
    <t>Tr_324</t>
  </si>
  <si>
    <t>Tr_325</t>
  </si>
  <si>
    <t>Tr_326</t>
  </si>
  <si>
    <t>Tr_327</t>
  </si>
  <si>
    <t>Tr_328</t>
  </si>
  <si>
    <t>Tr_329</t>
  </si>
  <si>
    <t>Tr_330</t>
  </si>
  <si>
    <t>Tr_331</t>
  </si>
  <si>
    <t>Tr_332</t>
  </si>
  <si>
    <t>Tr_333</t>
  </si>
  <si>
    <t>Tr_334</t>
  </si>
  <si>
    <t>Tr_335</t>
  </si>
  <si>
    <t>Tr_336</t>
  </si>
  <si>
    <t>Tr_337</t>
  </si>
  <si>
    <t>Tr_338</t>
  </si>
  <si>
    <t>Tr_339</t>
  </si>
  <si>
    <t>Tr_340</t>
  </si>
  <si>
    <t>Tr_341</t>
  </si>
  <si>
    <t>Tr_342</t>
  </si>
  <si>
    <t>Tr_343</t>
  </si>
  <si>
    <t>Tr_344</t>
  </si>
  <si>
    <t>Tr_345</t>
  </si>
  <si>
    <t>Tr_346</t>
  </si>
  <si>
    <t>Tr_347</t>
  </si>
  <si>
    <t>Tr_348</t>
  </si>
  <si>
    <t>Tr_349</t>
  </si>
  <si>
    <t>Tr_350</t>
  </si>
  <si>
    <t>Tr_351</t>
  </si>
  <si>
    <t>Tr_352</t>
  </si>
  <si>
    <t>Tr_353</t>
  </si>
  <si>
    <t>Tr_354</t>
  </si>
  <si>
    <t>Tr_355</t>
  </si>
  <si>
    <t>Tr_356</t>
  </si>
  <si>
    <t>Tr_357</t>
  </si>
  <si>
    <t>Tr_358</t>
  </si>
  <si>
    <t>Tr_359</t>
  </si>
  <si>
    <t>Tr_360</t>
  </si>
  <si>
    <t>Tr_361</t>
  </si>
  <si>
    <t>Tr_362</t>
  </si>
  <si>
    <t>Tr_363</t>
  </si>
  <si>
    <t>Tr_364</t>
  </si>
  <si>
    <t>Tr_365</t>
  </si>
  <si>
    <t>Tr_366</t>
  </si>
  <si>
    <t>Tr_367</t>
  </si>
  <si>
    <t>Tr_368</t>
  </si>
  <si>
    <t>Tr_369</t>
  </si>
  <si>
    <t>Tr_370</t>
  </si>
  <si>
    <t>Tr_371</t>
  </si>
  <si>
    <t>Tr_372</t>
  </si>
  <si>
    <t>Tr_373</t>
  </si>
  <si>
    <t>Tr_374</t>
  </si>
  <si>
    <t>Tr_375</t>
  </si>
  <si>
    <t>Tr_376</t>
  </si>
  <si>
    <t>Tr_377</t>
  </si>
  <si>
    <t>Tr_378</t>
  </si>
  <si>
    <t>Tr_379</t>
  </si>
  <si>
    <t>Tr_380</t>
  </si>
  <si>
    <t>Tr_381</t>
  </si>
  <si>
    <t>Tr_382</t>
  </si>
  <si>
    <t>Tr_383</t>
  </si>
  <si>
    <t>Tr_384</t>
  </si>
  <si>
    <t>Tr_385</t>
  </si>
  <si>
    <t>Tr_386</t>
  </si>
  <si>
    <t>Tr_387</t>
  </si>
  <si>
    <t>Tr_388</t>
  </si>
  <si>
    <t>Tr_389</t>
  </si>
  <si>
    <t>Tr_390</t>
  </si>
  <si>
    <t>Tr_391</t>
  </si>
  <si>
    <t>Tr_392</t>
  </si>
  <si>
    <t>Tr_393</t>
  </si>
  <si>
    <t>Tr_394</t>
  </si>
  <si>
    <t>Tr_395</t>
  </si>
  <si>
    <t>Tr_396</t>
  </si>
  <si>
    <t>Tr_397</t>
  </si>
  <si>
    <t>Tr_398</t>
  </si>
  <si>
    <t>Tr_399</t>
  </si>
  <si>
    <t>Tr_400</t>
  </si>
  <si>
    <t>MODE NO</t>
  </si>
  <si>
    <t>Bill</t>
  </si>
  <si>
    <t>Reciept</t>
  </si>
  <si>
    <t>Jammu &amp; Kashmir</t>
  </si>
  <si>
    <t>Grand Total</t>
  </si>
  <si>
    <t>Sum of SALE</t>
  </si>
  <si>
    <t>Sum of PAYMENT</t>
  </si>
  <si>
    <t>Year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</si>
  <si>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</si>
  <si>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</si>
  <si>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</si>
  <si>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</si>
  <si>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</si>
  <si>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</si>
  <si>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</si>
  <si>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</si>
  <si>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</si>
  <si>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</si>
  <si>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</si>
  <si>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</si>
  <si>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</si>
  <si>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(Multiple Items)</t>
  </si>
  <si>
    <t>MOTHS</t>
  </si>
  <si>
    <t>YEAR/MOTHS WISE PAYMENT/SALES</t>
  </si>
  <si>
    <t>YEAR/MOTHS/REFF WISE PAYMENT/SALES</t>
  </si>
  <si>
    <t>YEAR/MODE WISE PAYMENT</t>
  </si>
  <si>
    <t>Ansari</t>
  </si>
  <si>
    <t>AB AHAD MIR BHAI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</si>
</sst>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[$-409]d\-mmm\-yyyy;@"/>
    <numFmt numFmtId="166" formatCode="[$-409]d/mmm/yy;@"/>
    <numFmt numFmtId="167" formatCode="&quot;Rs.&quot;\ #,##0.00"/>
    <numFmt numFmtId="168" formatCode="[$-F800]dddd\,\ mmmm\ dd\,\ yyyy"/>
    <numFmt numFmtId="169" formatCode="_(* #,##0_);_(* \(#,##0\);_(* &quot;-&quot;??_);_(@_)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3" tint="0.39997558519241921"/>
      <name val="Calibri"/>
      <family val="2"/>
      <scheme val="minor"/>
    </font>
    <font>
      <b/>
      <sz val="28"/>
      <color rgb="FF00B050"/>
      <name val="Calibri"/>
      <family val="2"/>
      <scheme val="minor"/>
    </font>
    <font>
      <u/>
      <sz val="11"/>
      <color theme="10"/>
      <name val="Calibri"/>
      <family val="2"/>
    </font>
    <font>
      <sz val="22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28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8"/>
      <name val="Calibri"/>
      <family val="2"/>
      <scheme val="minor"/>
    </font>
    <font>
      <b/>
      <sz val="11"/>
      <color rgb="FF00B0F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164" fontId="18" fillId="0" borderId="0" applyFont="0" applyFill="0" applyBorder="0" applyAlignment="0" applyProtection="0"/>
  </cellStyleXfs>
  <cellXfs count="245">
    <xf numFmtId="0" fontId="0" fillId="0" borderId="0" xfId="0"/>
    <xf numFmtId="0" fontId="0" fillId="0" borderId="0" xfId="0" applyProtection="1"/>
    <xf numFmtId="0" fontId="0" fillId="0" borderId="0" xfId="0" applyBorder="1" applyProtection="1"/>
    <xf numFmtId="0" fontId="1" fillId="4" borderId="4" xfId="0" applyNumberFormat="1" applyFont="1" applyFill="1" applyBorder="1" applyAlignment="1" applyProtection="1">
      <alignment horizontal="center"/>
    </xf>
    <xf numFmtId="0" fontId="0" fillId="4" borderId="3" xfId="0" applyFill="1" applyBorder="1" applyProtection="1"/>
    <xf numFmtId="0" fontId="1" fillId="3" borderId="3" xfId="0" applyFont="1" applyFill="1" applyBorder="1" applyAlignment="1" applyProtection="1">
      <alignment horizontal="left"/>
    </xf>
    <xf numFmtId="0" fontId="1" fillId="4" borderId="2" xfId="0" applyFont="1" applyFill="1" applyBorder="1" applyAlignment="1" applyProtection="1">
      <alignment horizontal="center"/>
    </xf>
    <xf numFmtId="0" fontId="0" fillId="3" borderId="1" xfId="0" applyFill="1" applyBorder="1" applyAlignment="1" applyProtection="1">
      <alignment vertical="center"/>
    </xf>
    <xf numFmtId="0" fontId="0" fillId="4" borderId="1" xfId="0" applyFill="1" applyBorder="1" applyProtection="1"/>
    <xf numFmtId="0" fontId="1" fillId="3" borderId="1" xfId="0" applyFont="1" applyFill="1" applyBorder="1" applyAlignment="1" applyProtection="1">
      <alignment horizontal="left"/>
    </xf>
    <xf numFmtId="0" fontId="5" fillId="3" borderId="1" xfId="0" applyFont="1" applyFill="1" applyBorder="1" applyAlignment="1" applyProtection="1">
      <alignment vertical="center"/>
    </xf>
    <xf numFmtId="0" fontId="1" fillId="5" borderId="2" xfId="0" applyFont="1" applyFill="1" applyBorder="1" applyAlignment="1" applyProtection="1">
      <alignment horizontal="center"/>
    </xf>
    <xf numFmtId="0" fontId="5" fillId="4" borderId="1" xfId="0" applyFont="1" applyFill="1" applyBorder="1" applyProtection="1"/>
    <xf numFmtId="0" fontId="2" fillId="4" borderId="1" xfId="0" applyFont="1" applyFill="1" applyBorder="1" applyProtection="1"/>
    <xf numFmtId="0" fontId="2" fillId="2" borderId="1" xfId="0" applyFont="1" applyFill="1" applyBorder="1" applyProtection="1"/>
    <xf numFmtId="0" fontId="1" fillId="0" borderId="0" xfId="0" applyFont="1" applyAlignment="1" applyProtection="1">
      <alignment horizontal="center"/>
    </xf>
    <xf numFmtId="0" fontId="2" fillId="0" borderId="1" xfId="0" applyFont="1" applyBorder="1" applyProtection="1"/>
    <xf numFmtId="0" fontId="0" fillId="0" borderId="1" xfId="0" applyBorder="1" applyProtection="1"/>
    <xf numFmtId="0" fontId="2" fillId="0" borderId="0" xfId="0" applyFont="1" applyProtection="1"/>
    <xf numFmtId="1" fontId="1" fillId="6" borderId="3" xfId="0" applyNumberFormat="1" applyFont="1" applyFill="1" applyBorder="1" applyAlignment="1" applyProtection="1">
      <alignment horizontal="left"/>
    </xf>
    <xf numFmtId="1" fontId="1" fillId="6" borderId="1" xfId="0" applyNumberFormat="1" applyFont="1" applyFill="1" applyBorder="1" applyAlignment="1" applyProtection="1">
      <alignment horizontal="left"/>
    </xf>
    <xf numFmtId="0" fontId="1" fillId="6" borderId="1" xfId="0" applyNumberFormat="1" applyFont="1" applyFill="1" applyBorder="1" applyAlignment="1" applyProtection="1">
      <alignment horizontal="left"/>
    </xf>
    <xf numFmtId="0" fontId="1" fillId="6" borderId="3" xfId="0" applyNumberFormat="1" applyFont="1" applyFill="1" applyBorder="1" applyAlignment="1" applyProtection="1">
      <alignment horizontal="left"/>
    </xf>
    <xf numFmtId="0" fontId="0" fillId="6" borderId="1" xfId="0" applyNumberFormat="1" applyFill="1" applyBorder="1" applyProtection="1"/>
    <xf numFmtId="0" fontId="0" fillId="0" borderId="0" xfId="0" applyAlignment="1" applyProtection="1">
      <alignment horizontal="center"/>
    </xf>
    <xf numFmtId="0" fontId="9" fillId="4" borderId="0" xfId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2" fillId="4" borderId="0" xfId="0" applyFont="1" applyFill="1" applyBorder="1" applyAlignment="1" applyProtection="1">
      <alignment horizontal="center" vertical="center"/>
    </xf>
    <xf numFmtId="0" fontId="9" fillId="4" borderId="0" xfId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4" fontId="4" fillId="2" borderId="1" xfId="0" applyNumberFormat="1" applyFont="1" applyFill="1" applyBorder="1" applyAlignment="1" applyProtection="1">
      <alignment horizontal="center" vertical="center"/>
    </xf>
    <xf numFmtId="0" fontId="4" fillId="2" borderId="1" xfId="0" applyNumberFormat="1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4" fontId="1" fillId="4" borderId="3" xfId="0" applyNumberFormat="1" applyFont="1" applyFill="1" applyBorder="1" applyAlignment="1" applyProtection="1">
      <alignment horizontal="center"/>
    </xf>
    <xf numFmtId="4" fontId="1" fillId="4" borderId="1" xfId="0" applyNumberFormat="1" applyFont="1" applyFill="1" applyBorder="1" applyAlignment="1" applyProtection="1">
      <alignment horizontal="center"/>
    </xf>
    <xf numFmtId="0" fontId="1" fillId="4" borderId="1" xfId="0" applyFont="1" applyFill="1" applyBorder="1" applyAlignment="1" applyProtection="1">
      <alignment horizontal="center"/>
    </xf>
    <xf numFmtId="1" fontId="1" fillId="4" borderId="3" xfId="0" applyNumberFormat="1" applyFont="1" applyFill="1" applyBorder="1" applyAlignment="1" applyProtection="1">
      <alignment horizontal="left"/>
    </xf>
    <xf numFmtId="1" fontId="1" fillId="4" borderId="1" xfId="0" applyNumberFormat="1" applyFont="1" applyFill="1" applyBorder="1" applyAlignment="1" applyProtection="1">
      <alignment horizontal="left"/>
    </xf>
    <xf numFmtId="0" fontId="1" fillId="4" borderId="1" xfId="0" applyNumberFormat="1" applyFont="1" applyFill="1" applyBorder="1" applyAlignment="1" applyProtection="1">
      <alignment horizontal="left"/>
    </xf>
    <xf numFmtId="0" fontId="1" fillId="4" borderId="3" xfId="0" applyNumberFormat="1" applyFont="1" applyFill="1" applyBorder="1" applyAlignment="1" applyProtection="1">
      <alignment horizontal="left"/>
    </xf>
    <xf numFmtId="0" fontId="0" fillId="4" borderId="1" xfId="0" applyNumberFormat="1" applyFill="1" applyBorder="1" applyProtection="1"/>
    <xf numFmtId="0" fontId="0" fillId="0" borderId="0" xfId="0" applyAlignment="1" applyProtection="1"/>
    <xf numFmtId="0" fontId="1" fillId="3" borderId="1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0" fontId="16" fillId="4" borderId="0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0" fillId="0" borderId="0" xfId="0" applyAlignment="1"/>
    <xf numFmtId="0" fontId="0" fillId="3" borderId="3" xfId="0" applyNumberFormat="1" applyFont="1" applyFill="1" applyBorder="1" applyAlignment="1" applyProtection="1">
      <alignment horizontal="center"/>
    </xf>
    <xf numFmtId="0" fontId="0" fillId="3" borderId="1" xfId="0" applyNumberFormat="1" applyFont="1" applyFill="1" applyBorder="1" applyAlignment="1" applyProtection="1">
      <alignment horizontal="center"/>
    </xf>
    <xf numFmtId="0" fontId="1" fillId="4" borderId="3" xfId="0" applyNumberFormat="1" applyFont="1" applyFill="1" applyBorder="1" applyAlignment="1" applyProtection="1">
      <alignment horizontal="center"/>
    </xf>
    <xf numFmtId="0" fontId="1" fillId="4" borderId="1" xfId="0" applyNumberFormat="1" applyFont="1" applyFill="1" applyBorder="1" applyAlignment="1" applyProtection="1">
      <alignment horizontal="center"/>
    </xf>
    <xf numFmtId="4" fontId="0" fillId="0" borderId="0" xfId="0" applyNumberFormat="1" applyProtection="1"/>
    <xf numFmtId="0" fontId="0" fillId="0" borderId="0" xfId="0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3" fillId="2" borderId="4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/>
    </xf>
    <xf numFmtId="164" fontId="1" fillId="6" borderId="1" xfId="2" applyFont="1" applyFill="1" applyBorder="1" applyAlignment="1" applyProtection="1">
      <alignment horizontal="center"/>
    </xf>
    <xf numFmtId="166" fontId="8" fillId="4" borderId="5" xfId="0" applyNumberFormat="1" applyFont="1" applyFill="1" applyBorder="1" applyAlignment="1" applyProtection="1">
      <alignment horizontal="center" vertical="center"/>
    </xf>
    <xf numFmtId="166" fontId="13" fillId="4" borderId="0" xfId="0" applyNumberFormat="1" applyFont="1" applyFill="1" applyBorder="1" applyAlignment="1" applyProtection="1">
      <alignment horizontal="center" vertical="center"/>
    </xf>
    <xf numFmtId="166" fontId="8" fillId="4" borderId="0" xfId="0" applyNumberFormat="1" applyFont="1" applyFill="1" applyBorder="1" applyAlignment="1" applyProtection="1">
      <alignment horizontal="center" vertical="center"/>
    </xf>
    <xf numFmtId="166" fontId="4" fillId="2" borderId="1" xfId="0" applyNumberFormat="1" applyFont="1" applyFill="1" applyBorder="1" applyAlignment="1" applyProtection="1">
      <alignment horizontal="center" vertical="center"/>
    </xf>
    <xf numFmtId="166" fontId="0" fillId="3" borderId="3" xfId="0" applyNumberFormat="1" applyFill="1" applyBorder="1" applyAlignment="1" applyProtection="1">
      <alignment horizontal="center" vertical="center"/>
    </xf>
    <xf numFmtId="166" fontId="0" fillId="3" borderId="1" xfId="0" applyNumberFormat="1" applyFill="1" applyBorder="1" applyAlignment="1" applyProtection="1">
      <alignment horizontal="center" vertical="center"/>
    </xf>
    <xf numFmtId="166" fontId="5" fillId="3" borderId="1" xfId="0" applyNumberFormat="1" applyFont="1" applyFill="1" applyBorder="1" applyAlignment="1" applyProtection="1">
      <alignment horizontal="center" vertical="center"/>
    </xf>
    <xf numFmtId="166" fontId="2" fillId="4" borderId="1" xfId="0" applyNumberFormat="1" applyFont="1" applyFill="1" applyBorder="1" applyAlignment="1" applyProtection="1">
      <alignment horizontal="center"/>
    </xf>
    <xf numFmtId="166" fontId="2" fillId="0" borderId="1" xfId="0" applyNumberFormat="1" applyFont="1" applyBorder="1" applyAlignment="1" applyProtection="1">
      <alignment horizontal="center"/>
    </xf>
    <xf numFmtId="166" fontId="2" fillId="0" borderId="0" xfId="0" applyNumberFormat="1" applyFont="1" applyAlignment="1" applyProtection="1">
      <alignment horizontal="center"/>
    </xf>
    <xf numFmtId="0" fontId="20" fillId="7" borderId="4" xfId="0" applyFont="1" applyFill="1" applyBorder="1" applyAlignment="1" applyProtection="1">
      <alignment horizontal="center" vertical="center"/>
    </xf>
    <xf numFmtId="166" fontId="19" fillId="7" borderId="3" xfId="0" applyNumberFormat="1" applyFont="1" applyFill="1" applyBorder="1" applyAlignment="1" applyProtection="1">
      <alignment horizontal="center" vertical="center"/>
    </xf>
    <xf numFmtId="0" fontId="4" fillId="7" borderId="3" xfId="0" applyFont="1" applyFill="1" applyBorder="1" applyAlignment="1" applyProtection="1">
      <alignment horizontal="center" vertical="center"/>
    </xf>
    <xf numFmtId="0" fontId="4" fillId="7" borderId="3" xfId="0" applyNumberFormat="1" applyFont="1" applyFill="1" applyBorder="1" applyAlignment="1" applyProtection="1">
      <alignment horizontal="center" vertical="center"/>
    </xf>
    <xf numFmtId="4" fontId="4" fillId="7" borderId="3" xfId="0" applyNumberFormat="1" applyFont="1" applyFill="1" applyBorder="1" applyAlignment="1" applyProtection="1">
      <alignment horizontal="center" vertical="center"/>
    </xf>
    <xf numFmtId="164" fontId="2" fillId="7" borderId="3" xfId="2" applyFont="1" applyFill="1" applyBorder="1" applyAlignment="1" applyProtection="1">
      <alignment vertical="center"/>
    </xf>
    <xf numFmtId="4" fontId="4" fillId="2" borderId="1" xfId="0" applyNumberFormat="1" applyFont="1" applyFill="1" applyBorder="1" applyAlignment="1" applyProtection="1">
      <alignment horizontal="center"/>
    </xf>
    <xf numFmtId="164" fontId="1" fillId="6" borderId="3" xfId="2" applyFont="1" applyFill="1" applyBorder="1" applyAlignment="1" applyProtection="1">
      <alignment vertical="center"/>
    </xf>
    <xf numFmtId="4" fontId="11" fillId="4" borderId="1" xfId="0" applyNumberFormat="1" applyFont="1" applyFill="1" applyBorder="1" applyAlignment="1" applyProtection="1">
      <alignment horizontal="center" vertical="center"/>
    </xf>
    <xf numFmtId="0" fontId="0" fillId="6" borderId="1" xfId="0" applyFill="1" applyBorder="1"/>
    <xf numFmtId="0" fontId="9" fillId="2" borderId="3" xfId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center" vertical="center"/>
    </xf>
    <xf numFmtId="0" fontId="9" fillId="4" borderId="0" xfId="1" applyFill="1" applyBorder="1" applyAlignment="1" applyProtection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9" fillId="6" borderId="1" xfId="1" applyFill="1" applyBorder="1" applyAlignment="1" applyProtection="1"/>
    <xf numFmtId="4" fontId="21" fillId="2" borderId="3" xfId="0" applyNumberFormat="1" applyFont="1" applyFill="1" applyBorder="1" applyAlignment="1" applyProtection="1">
      <alignment horizontal="center" vertical="center"/>
    </xf>
    <xf numFmtId="4" fontId="22" fillId="4" borderId="3" xfId="0" applyNumberFormat="1" applyFont="1" applyFill="1" applyBorder="1" applyAlignment="1" applyProtection="1">
      <alignment horizontal="center"/>
    </xf>
    <xf numFmtId="4" fontId="22" fillId="4" borderId="1" xfId="0" applyNumberFormat="1" applyFont="1" applyFill="1" applyBorder="1" applyAlignment="1" applyProtection="1">
      <alignment horizontal="center"/>
    </xf>
    <xf numFmtId="0" fontId="22" fillId="4" borderId="1" xfId="0" applyFont="1" applyFill="1" applyBorder="1" applyAlignment="1" applyProtection="1">
      <alignment horizontal="center"/>
    </xf>
    <xf numFmtId="4" fontId="13" fillId="2" borderId="1" xfId="0" applyNumberFormat="1" applyFont="1" applyFill="1" applyBorder="1" applyAlignment="1" applyProtection="1">
      <alignment horizontal="center" vertical="center"/>
    </xf>
    <xf numFmtId="0" fontId="1" fillId="0" borderId="0" xfId="0" applyFont="1"/>
    <xf numFmtId="0" fontId="0" fillId="0" borderId="1" xfId="0" applyBorder="1"/>
    <xf numFmtId="0" fontId="1" fillId="10" borderId="16" xfId="0" applyFont="1" applyFill="1" applyBorder="1"/>
    <xf numFmtId="168" fontId="1" fillId="16" borderId="16" xfId="0" applyNumberFormat="1" applyFont="1" applyFill="1" applyBorder="1"/>
    <xf numFmtId="0" fontId="0" fillId="0" borderId="3" xfId="0" applyBorder="1"/>
    <xf numFmtId="0" fontId="1" fillId="14" borderId="14" xfId="0" applyFont="1" applyFill="1" applyBorder="1"/>
    <xf numFmtId="0" fontId="1" fillId="14" borderId="15" xfId="0" applyFont="1" applyFill="1" applyBorder="1"/>
    <xf numFmtId="0" fontId="1" fillId="14" borderId="16" xfId="0" applyFont="1" applyFill="1" applyBorder="1"/>
    <xf numFmtId="0" fontId="1" fillId="9" borderId="17" xfId="0" applyFont="1" applyFill="1" applyBorder="1"/>
    <xf numFmtId="0" fontId="1" fillId="9" borderId="18" xfId="0" applyFont="1" applyFill="1" applyBorder="1"/>
    <xf numFmtId="0" fontId="1" fillId="14" borderId="17" xfId="0" applyFont="1" applyFill="1" applyBorder="1"/>
    <xf numFmtId="0" fontId="1" fillId="12" borderId="1" xfId="0" applyFont="1" applyFill="1" applyBorder="1"/>
    <xf numFmtId="169" fontId="1" fillId="15" borderId="3" xfId="2" applyNumberFormat="1" applyFont="1" applyFill="1" applyBorder="1"/>
    <xf numFmtId="169" fontId="1" fillId="15" borderId="1" xfId="2" applyNumberFormat="1" applyFont="1" applyFill="1" applyBorder="1"/>
    <xf numFmtId="0" fontId="0" fillId="5" borderId="3" xfId="0" applyFill="1" applyBorder="1"/>
    <xf numFmtId="0" fontId="0" fillId="5" borderId="1" xfId="0" applyFill="1" applyBorder="1"/>
    <xf numFmtId="0" fontId="0" fillId="22" borderId="16" xfId="0" applyFill="1" applyBorder="1"/>
    <xf numFmtId="168" fontId="0" fillId="17" borderId="16" xfId="0" applyNumberFormat="1" applyFill="1" applyBorder="1"/>
    <xf numFmtId="0" fontId="1" fillId="8" borderId="14" xfId="0" applyFont="1" applyFill="1" applyBorder="1"/>
    <xf numFmtId="0" fontId="1" fillId="8" borderId="15" xfId="0" applyFont="1" applyFill="1" applyBorder="1"/>
    <xf numFmtId="0" fontId="0" fillId="17" borderId="5" xfId="0" applyFill="1" applyBorder="1"/>
    <xf numFmtId="0" fontId="0" fillId="17" borderId="0" xfId="0" applyFill="1" applyBorder="1"/>
    <xf numFmtId="0" fontId="0" fillId="17" borderId="10" xfId="0" applyFill="1" applyBorder="1"/>
    <xf numFmtId="0" fontId="0" fillId="17" borderId="24" xfId="0" applyFill="1" applyBorder="1"/>
    <xf numFmtId="0" fontId="0" fillId="17" borderId="9" xfId="0" applyFill="1" applyBorder="1"/>
    <xf numFmtId="0" fontId="0" fillId="17" borderId="8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21" borderId="3" xfId="0" applyFill="1" applyBorder="1"/>
    <xf numFmtId="0" fontId="0" fillId="21" borderId="1" xfId="0" applyFill="1" applyBorder="1"/>
    <xf numFmtId="0" fontId="0" fillId="21" borderId="26" xfId="0" applyFill="1" applyBorder="1"/>
    <xf numFmtId="0" fontId="0" fillId="17" borderId="3" xfId="0" applyFill="1" applyBorder="1"/>
    <xf numFmtId="0" fontId="0" fillId="17" borderId="1" xfId="0" applyFill="1" applyBorder="1"/>
    <xf numFmtId="0" fontId="0" fillId="17" borderId="26" xfId="0" applyFill="1" applyBorder="1"/>
    <xf numFmtId="0" fontId="0" fillId="5" borderId="26" xfId="0" applyFill="1" applyBorder="1"/>
    <xf numFmtId="169" fontId="0" fillId="18" borderId="3" xfId="2" applyNumberFormat="1" applyFont="1" applyFill="1" applyBorder="1"/>
    <xf numFmtId="169" fontId="0" fillId="18" borderId="1" xfId="2" applyNumberFormat="1" applyFont="1" applyFill="1" applyBorder="1"/>
    <xf numFmtId="169" fontId="0" fillId="18" borderId="26" xfId="2" applyNumberFormat="1" applyFont="1" applyFill="1" applyBorder="1"/>
    <xf numFmtId="169" fontId="0" fillId="6" borderId="16" xfId="2" applyNumberFormat="1" applyFont="1" applyFill="1" applyBorder="1"/>
    <xf numFmtId="169" fontId="0" fillId="13" borderId="16" xfId="2" applyNumberFormat="1" applyFont="1" applyFill="1" applyBorder="1"/>
    <xf numFmtId="169" fontId="0" fillId="2" borderId="16" xfId="2" applyNumberFormat="1" applyFont="1" applyFill="1" applyBorder="1"/>
    <xf numFmtId="169" fontId="0" fillId="10" borderId="16" xfId="2" applyNumberFormat="1" applyFont="1" applyFill="1" applyBorder="1"/>
    <xf numFmtId="169" fontId="0" fillId="10" borderId="3" xfId="2" applyNumberFormat="1" applyFont="1" applyFill="1" applyBorder="1"/>
    <xf numFmtId="14" fontId="0" fillId="20" borderId="3" xfId="0" applyNumberFormat="1" applyFill="1" applyBorder="1"/>
    <xf numFmtId="14" fontId="0" fillId="20" borderId="22" xfId="0" applyNumberFormat="1" applyFill="1" applyBorder="1"/>
    <xf numFmtId="0" fontId="0" fillId="12" borderId="1" xfId="0" applyFill="1" applyBorder="1"/>
    <xf numFmtId="0" fontId="0" fillId="12" borderId="26" xfId="0" applyFill="1" applyBorder="1"/>
    <xf numFmtId="169" fontId="0" fillId="0" borderId="0" xfId="0" applyNumberFormat="1"/>
    <xf numFmtId="0" fontId="0" fillId="12" borderId="4" xfId="0" applyFill="1" applyBorder="1"/>
    <xf numFmtId="169" fontId="1" fillId="6" borderId="4" xfId="2" applyNumberFormat="1" applyFont="1" applyFill="1" applyBorder="1"/>
    <xf numFmtId="169" fontId="1" fillId="13" borderId="20" xfId="2" applyNumberFormat="1" applyFont="1" applyFill="1" applyBorder="1"/>
    <xf numFmtId="169" fontId="0" fillId="10" borderId="22" xfId="2" applyNumberFormat="1" applyFont="1" applyFill="1" applyBorder="1"/>
    <xf numFmtId="169" fontId="1" fillId="6" borderId="27" xfId="2" applyNumberFormat="1" applyFont="1" applyFill="1" applyBorder="1"/>
    <xf numFmtId="0" fontId="1" fillId="11" borderId="25" xfId="0" applyFont="1" applyFill="1" applyBorder="1"/>
    <xf numFmtId="0" fontId="1" fillId="11" borderId="21" xfId="0" applyFont="1" applyFill="1" applyBorder="1"/>
    <xf numFmtId="0" fontId="9" fillId="12" borderId="1" xfId="1" applyFill="1" applyBorder="1" applyAlignment="1" applyProtection="1"/>
    <xf numFmtId="0" fontId="1" fillId="8" borderId="28" xfId="0" applyFont="1" applyFill="1" applyBorder="1"/>
    <xf numFmtId="0" fontId="1" fillId="23" borderId="29" xfId="0" applyFont="1" applyFill="1" applyBorder="1"/>
    <xf numFmtId="0" fontId="1" fillId="23" borderId="30" xfId="0" applyFont="1" applyFill="1" applyBorder="1"/>
    <xf numFmtId="0" fontId="1" fillId="23" borderId="9" xfId="0" applyFont="1" applyFill="1" applyBorder="1"/>
    <xf numFmtId="0" fontId="0" fillId="5" borderId="31" xfId="0" applyFill="1" applyBorder="1"/>
    <xf numFmtId="0" fontId="0" fillId="5" borderId="32" xfId="0" applyFill="1" applyBorder="1"/>
    <xf numFmtId="0" fontId="0" fillId="5" borderId="33" xfId="0" applyFill="1" applyBorder="1"/>
    <xf numFmtId="0" fontId="0" fillId="5" borderId="34" xfId="0" applyFill="1" applyBorder="1"/>
    <xf numFmtId="0" fontId="0" fillId="5" borderId="25" xfId="0" applyFill="1" applyBorder="1"/>
    <xf numFmtId="0" fontId="0" fillId="5" borderId="35" xfId="0" applyFill="1" applyBorder="1"/>
    <xf numFmtId="0" fontId="1" fillId="24" borderId="14" xfId="0" applyFont="1" applyFill="1" applyBorder="1"/>
    <xf numFmtId="0" fontId="1" fillId="24" borderId="16" xfId="0" applyFont="1" applyFill="1" applyBorder="1"/>
    <xf numFmtId="0" fontId="0" fillId="0" borderId="23" xfId="0" applyBorder="1"/>
    <xf numFmtId="169" fontId="0" fillId="0" borderId="23" xfId="0" applyNumberFormat="1" applyBorder="1"/>
    <xf numFmtId="169" fontId="0" fillId="0" borderId="11" xfId="0" applyNumberFormat="1" applyBorder="1"/>
    <xf numFmtId="0" fontId="1" fillId="0" borderId="23" xfId="0" applyFont="1" applyBorder="1"/>
    <xf numFmtId="0" fontId="0" fillId="17" borderId="12" xfId="0" applyFill="1" applyBorder="1" applyAlignment="1"/>
    <xf numFmtId="0" fontId="0" fillId="17" borderId="36" xfId="0" applyFill="1" applyBorder="1" applyAlignment="1"/>
    <xf numFmtId="0" fontId="0" fillId="17" borderId="13" xfId="0" applyFill="1" applyBorder="1" applyAlignment="1"/>
    <xf numFmtId="0" fontId="0" fillId="0" borderId="9" xfId="0" pivotButton="1" applyBorder="1"/>
    <xf numFmtId="0" fontId="0" fillId="0" borderId="11" xfId="0" applyBorder="1"/>
    <xf numFmtId="169" fontId="0" fillId="0" borderId="24" xfId="0" applyNumberFormat="1" applyBorder="1"/>
    <xf numFmtId="169" fontId="0" fillId="0" borderId="9" xfId="0" applyNumberFormat="1" applyBorder="1"/>
    <xf numFmtId="0" fontId="0" fillId="0" borderId="18" xfId="0" pivotButton="1" applyBorder="1"/>
    <xf numFmtId="0" fontId="0" fillId="0" borderId="19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9" xfId="0" applyBorder="1"/>
    <xf numFmtId="0" fontId="0" fillId="0" borderId="24" xfId="0" applyBorder="1" applyAlignment="1">
      <alignment horizontal="left" indent="1"/>
    </xf>
    <xf numFmtId="169" fontId="0" fillId="0" borderId="19" xfId="0" applyNumberFormat="1" applyBorder="1"/>
    <xf numFmtId="169" fontId="0" fillId="0" borderId="18" xfId="0" applyNumberFormat="1" applyBorder="1"/>
    <xf numFmtId="0" fontId="0" fillId="0" borderId="18" xfId="0" applyBorder="1"/>
    <xf numFmtId="0" fontId="0" fillId="5" borderId="17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1" fillId="10" borderId="14" xfId="0" applyFont="1" applyFill="1" applyBorder="1" applyAlignment="1">
      <alignment horizontal="center"/>
    </xf>
    <xf numFmtId="0" fontId="1" fillId="10" borderId="15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/>
    </xf>
    <xf numFmtId="0" fontId="1" fillId="16" borderId="15" xfId="0" applyFont="1" applyFill="1" applyBorder="1" applyAlignment="1">
      <alignment horizontal="center"/>
    </xf>
    <xf numFmtId="0" fontId="23" fillId="8" borderId="7" xfId="0" applyFont="1" applyFill="1" applyBorder="1" applyAlignment="1">
      <alignment horizontal="center" vertical="center"/>
    </xf>
    <xf numFmtId="0" fontId="23" fillId="8" borderId="5" xfId="0" applyFont="1" applyFill="1" applyBorder="1" applyAlignment="1">
      <alignment horizontal="center" vertical="center"/>
    </xf>
    <xf numFmtId="0" fontId="23" fillId="8" borderId="9" xfId="0" applyFont="1" applyFill="1" applyBorder="1" applyAlignment="1">
      <alignment horizontal="center" vertical="center"/>
    </xf>
    <xf numFmtId="0" fontId="23" fillId="8" borderId="10" xfId="0" applyFont="1" applyFill="1" applyBorder="1" applyAlignment="1">
      <alignment horizontal="center" vertical="center"/>
    </xf>
    <xf numFmtId="167" fontId="24" fillId="11" borderId="12" xfId="0" applyNumberFormat="1" applyFont="1" applyFill="1" applyBorder="1" applyAlignment="1">
      <alignment horizontal="center"/>
    </xf>
    <xf numFmtId="167" fontId="24" fillId="11" borderId="13" xfId="0" applyNumberFormat="1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/>
    </xf>
    <xf numFmtId="0" fontId="1" fillId="13" borderId="8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0" fontId="1" fillId="9" borderId="10" xfId="0" applyFont="1" applyFill="1" applyBorder="1" applyAlignment="1">
      <alignment horizontal="center"/>
    </xf>
    <xf numFmtId="0" fontId="1" fillId="9" borderId="11" xfId="0" applyFon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36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1" fillId="8" borderId="12" xfId="0" applyFont="1" applyFill="1" applyBorder="1" applyAlignment="1">
      <alignment horizontal="center"/>
    </xf>
    <xf numFmtId="0" fontId="1" fillId="8" borderId="36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1" fillId="22" borderId="14" xfId="0" applyFont="1" applyFill="1" applyBorder="1" applyAlignment="1">
      <alignment horizontal="center"/>
    </xf>
    <xf numFmtId="0" fontId="1" fillId="22" borderId="15" xfId="0" applyFont="1" applyFill="1" applyBorder="1" applyAlignment="1">
      <alignment horizontal="center"/>
    </xf>
    <xf numFmtId="0" fontId="1" fillId="17" borderId="14" xfId="0" applyFont="1" applyFill="1" applyBorder="1" applyAlignment="1">
      <alignment horizontal="center"/>
    </xf>
    <xf numFmtId="0" fontId="1" fillId="17" borderId="15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1" fillId="6" borderId="15" xfId="0" applyFont="1" applyFill="1" applyBorder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1" fillId="13" borderId="15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0" borderId="14" xfId="0" applyFont="1" applyFill="1" applyBorder="1" applyAlignment="1">
      <alignment horizontal="center"/>
    </xf>
    <xf numFmtId="0" fontId="1" fillId="20" borderId="15" xfId="0" applyFont="1" applyFill="1" applyBorder="1" applyAlignment="1">
      <alignment horizontal="center"/>
    </xf>
    <xf numFmtId="0" fontId="1" fillId="19" borderId="14" xfId="0" applyFont="1" applyFill="1" applyBorder="1" applyAlignment="1">
      <alignment horizontal="center"/>
    </xf>
    <xf numFmtId="0" fontId="1" fillId="19" borderId="15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0" fontId="1" fillId="12" borderId="15" xfId="0" applyFont="1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0" fillId="20" borderId="15" xfId="0" applyFill="1" applyBorder="1" applyAlignment="1">
      <alignment horizontal="center"/>
    </xf>
    <xf numFmtId="0" fontId="0" fillId="20" borderId="16" xfId="0" applyFill="1" applyBorder="1" applyAlignment="1">
      <alignment horizontal="center"/>
    </xf>
    <xf numFmtId="0" fontId="0" fillId="19" borderId="15" xfId="0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6" fillId="4" borderId="0" xfId="0" applyFont="1" applyFill="1" applyBorder="1" applyAlignment="1" applyProtection="1">
      <alignment vertical="center"/>
    </xf>
    <xf numFmtId="0" fontId="10" fillId="4" borderId="0" xfId="0" applyNumberFormat="1" applyFont="1" applyFill="1" applyBorder="1" applyAlignment="1" applyProtection="1">
      <alignment horizontal="center" vertical="top"/>
    </xf>
    <xf numFmtId="165" fontId="7" fillId="4" borderId="0" xfId="0" applyNumberFormat="1" applyFont="1" applyFill="1" applyBorder="1" applyAlignment="1" applyProtection="1">
      <alignment horizontal="center" vertical="top"/>
    </xf>
    <xf numFmtId="165" fontId="7" fillId="4" borderId="6" xfId="0" applyNumberFormat="1" applyFont="1" applyFill="1" applyBorder="1" applyAlignment="1" applyProtection="1">
      <alignment horizontal="center" vertical="top"/>
    </xf>
    <xf numFmtId="0" fontId="8" fillId="4" borderId="5" xfId="0" applyFont="1" applyFill="1" applyBorder="1" applyAlignment="1" applyProtection="1">
      <alignment horizontal="center" vertical="center"/>
    </xf>
    <xf numFmtId="0" fontId="8" fillId="4" borderId="0" xfId="0" applyFont="1" applyFill="1" applyBorder="1" applyAlignment="1" applyProtection="1">
      <alignment horizontal="center" vertical="center"/>
    </xf>
    <xf numFmtId="0" fontId="12" fillId="4" borderId="5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9" fillId="4" borderId="0" xfId="1" applyFill="1" applyBorder="1" applyAlignment="1" applyProtection="1">
      <alignment horizontal="center" vertical="center"/>
    </xf>
    <xf numFmtId="0" fontId="16" fillId="4" borderId="5" xfId="0" applyFont="1" applyFill="1" applyBorder="1" applyAlignment="1" applyProtection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7" fillId="4" borderId="6" xfId="1" applyFont="1" applyFill="1" applyBorder="1" applyAlignment="1" applyProtection="1">
      <alignment horizontal="center" vertical="center"/>
    </xf>
  </cellXfs>
  <cellStyles count="3">
    <cellStyle name="Comma" xfId="2" builtinId="3"/>
    <cellStyle name="Hyperlink" xfId="1" builtinId="8"/>
    <cellStyle name="Normal" xfId="0" builtinId="0"/>
  </cellStyles>
  <dxfs count="42"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9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9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9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9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9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9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B4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B4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57150</xdr:rowOff>
    </xdr:from>
    <xdr:to>
      <xdr:col>2</xdr:col>
      <xdr:colOff>438150</xdr:colOff>
      <xdr:row>7</xdr:row>
      <xdr:rowOff>152400</xdr:rowOff>
    </xdr:to>
    <xdr:sp macro="" textlink="">
      <xdr:nvSpPr>
        <xdr:cNvPr id="6" name="Left Arrow 5">
          <a:hlinkClick xmlns:r="http://schemas.openxmlformats.org/officeDocument/2006/relationships" r:id="rId1"/>
        </xdr:cNvPr>
        <xdr:cNvSpPr/>
      </xdr:nvSpPr>
      <xdr:spPr>
        <a:xfrm>
          <a:off x="152400" y="1057275"/>
          <a:ext cx="1000125" cy="495300"/>
        </a:xfrm>
        <a:prstGeom prst="leftArrow">
          <a:avLst/>
        </a:prstGeom>
        <a:gradFill flip="none" rotWithShape="1">
          <a:gsLst>
            <a:gs pos="0">
              <a:srgbClr val="03D4A8"/>
            </a:gs>
            <a:gs pos="75000">
              <a:srgbClr val="0087E6"/>
            </a:gs>
            <a:gs pos="100000">
              <a:srgbClr val="005CBF"/>
            </a:gs>
          </a:gsLst>
          <a:lin ang="13500000" scaled="1"/>
          <a:tileRect/>
        </a:gradFill>
        <a:ln w="25400" cap="flat" cmpd="sng" algn="ctr">
          <a:noFill/>
          <a:prstDash val="solid"/>
        </a:ln>
        <a:effectLst/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DASHBORD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57150</xdr:rowOff>
    </xdr:from>
    <xdr:to>
      <xdr:col>2</xdr:col>
      <xdr:colOff>438150</xdr:colOff>
      <xdr:row>7</xdr:row>
      <xdr:rowOff>152400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52400" y="1057275"/>
          <a:ext cx="1000125" cy="495300"/>
        </a:xfrm>
        <a:prstGeom prst="leftArrow">
          <a:avLst/>
        </a:prstGeom>
        <a:gradFill flip="none" rotWithShape="1">
          <a:gsLst>
            <a:gs pos="0">
              <a:srgbClr val="03D4A8"/>
            </a:gs>
            <a:gs pos="75000">
              <a:srgbClr val="0087E6"/>
            </a:gs>
            <a:gs pos="100000">
              <a:srgbClr val="005CBF"/>
            </a:gs>
          </a:gsLst>
          <a:lin ang="13500000" scaled="1"/>
          <a:tileRect/>
        </a:gradFill>
        <a:ln w="25400" cap="flat" cmpd="sng" algn="ctr">
          <a:noFill/>
          <a:prstDash val="solid"/>
        </a:ln>
        <a:effectLst/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DASHBORD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74549</xdr:colOff>
      <xdr:row>4</xdr:row>
      <xdr:rowOff>0</xdr:rowOff>
    </xdr:from>
    <xdr:ext cx="1767793" cy="530658"/>
    <xdr:sp macro="" textlink="">
      <xdr:nvSpPr>
        <xdr:cNvPr id="4" name="Rectangle 3"/>
        <xdr:cNvSpPr/>
      </xdr:nvSpPr>
      <xdr:spPr>
        <a:xfrm>
          <a:off x="16743299" y="38100"/>
          <a:ext cx="17677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US" sz="2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oneCellAnchor>
    <xdr:from>
      <xdr:col>17</xdr:col>
      <xdr:colOff>74549</xdr:colOff>
      <xdr:row>4</xdr:row>
      <xdr:rowOff>0</xdr:rowOff>
    </xdr:from>
    <xdr:ext cx="1767793" cy="530658"/>
    <xdr:sp macro="" textlink="">
      <xdr:nvSpPr>
        <xdr:cNvPr id="3" name="Rectangle 2"/>
        <xdr:cNvSpPr/>
      </xdr:nvSpPr>
      <xdr:spPr>
        <a:xfrm>
          <a:off x="16743299" y="38100"/>
          <a:ext cx="17677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US" sz="2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74549</xdr:colOff>
      <xdr:row>4</xdr:row>
      <xdr:rowOff>0</xdr:rowOff>
    </xdr:from>
    <xdr:ext cx="1767793" cy="530658"/>
    <xdr:sp macro="" textlink="">
      <xdr:nvSpPr>
        <xdr:cNvPr id="2" name="Rectangle 1"/>
        <xdr:cNvSpPr/>
      </xdr:nvSpPr>
      <xdr:spPr>
        <a:xfrm>
          <a:off x="15295499" y="809625"/>
          <a:ext cx="17677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US" sz="2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oneCellAnchor>
    <xdr:from>
      <xdr:col>19</xdr:col>
      <xdr:colOff>74549</xdr:colOff>
      <xdr:row>4</xdr:row>
      <xdr:rowOff>0</xdr:rowOff>
    </xdr:from>
    <xdr:ext cx="1767793" cy="530658"/>
    <xdr:sp macro="" textlink="">
      <xdr:nvSpPr>
        <xdr:cNvPr id="3" name="Rectangle 2"/>
        <xdr:cNvSpPr/>
      </xdr:nvSpPr>
      <xdr:spPr>
        <a:xfrm>
          <a:off x="15295499" y="809625"/>
          <a:ext cx="17677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US" sz="2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74549</xdr:colOff>
      <xdr:row>4</xdr:row>
      <xdr:rowOff>0</xdr:rowOff>
    </xdr:from>
    <xdr:ext cx="1767793" cy="530658"/>
    <xdr:sp macro="" textlink="">
      <xdr:nvSpPr>
        <xdr:cNvPr id="2" name="Rectangle 1"/>
        <xdr:cNvSpPr/>
      </xdr:nvSpPr>
      <xdr:spPr>
        <a:xfrm>
          <a:off x="15990824" y="990600"/>
          <a:ext cx="17677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US" sz="2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oneCellAnchor>
    <xdr:from>
      <xdr:col>19</xdr:col>
      <xdr:colOff>74549</xdr:colOff>
      <xdr:row>4</xdr:row>
      <xdr:rowOff>0</xdr:rowOff>
    </xdr:from>
    <xdr:ext cx="1767793" cy="530658"/>
    <xdr:sp macro="" textlink="">
      <xdr:nvSpPr>
        <xdr:cNvPr id="3" name="Rectangle 2"/>
        <xdr:cNvSpPr/>
      </xdr:nvSpPr>
      <xdr:spPr>
        <a:xfrm>
          <a:off x="15990824" y="990600"/>
          <a:ext cx="17677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endParaRPr lang="en-US" sz="2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76199</xdr:colOff>
      <xdr:row>1</xdr:row>
      <xdr:rowOff>47625</xdr:rowOff>
    </xdr:from>
    <xdr:to>
      <xdr:col>2</xdr:col>
      <xdr:colOff>1076324</xdr:colOff>
      <xdr:row>3</xdr:row>
      <xdr:rowOff>47625</xdr:rowOff>
    </xdr:to>
    <xdr:sp macro="" textlink="">
      <xdr:nvSpPr>
        <xdr:cNvPr id="4" name="Left Arrow 3">
          <a:hlinkClick xmlns:r="http://schemas.openxmlformats.org/officeDocument/2006/relationships" r:id="rId1"/>
        </xdr:cNvPr>
        <xdr:cNvSpPr/>
      </xdr:nvSpPr>
      <xdr:spPr>
        <a:xfrm>
          <a:off x="1590674" y="295275"/>
          <a:ext cx="1000125" cy="495300"/>
        </a:xfrm>
        <a:prstGeom prst="leftArrow">
          <a:avLst/>
        </a:prstGeom>
        <a:gradFill flip="none" rotWithShape="1">
          <a:gsLst>
            <a:gs pos="0">
              <a:srgbClr val="03D4A8"/>
            </a:gs>
            <a:gs pos="75000">
              <a:srgbClr val="0087E6"/>
            </a:gs>
            <a:gs pos="100000">
              <a:srgbClr val="005CBF"/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DASHBORD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LINE\Fiverr\0001-Kashmir-Rouf%20Bergi\SOFTWERE_R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3926.58723946759" createdVersion="5" refreshedVersion="5" minRefreshableVersion="3" recordCount="400">
  <cacheSource type="worksheet">
    <worksheetSource ref="B9:M409" sheet="AB AHAD MIR" r:id="rId2"/>
  </cacheSource>
  <cacheFields count="12">
    <cacheField name="Tr_CODE" numFmtId="0">
      <sharedItems/>
    </cacheField>
    <cacheField name="DATE" numFmtId="14">
      <sharedItems containsNonDate="0" containsDate="1" containsString="0" containsBlank="1" minDate="2019-04-05T00:00:00" maxDate="2020-04-06T00:00:00"/>
    </cacheField>
    <cacheField name="REFF" numFmtId="0">
      <sharedItems containsBlank="1" count="3">
        <s v="Reciept"/>
        <s v="Bill"/>
        <m/>
      </sharedItems>
    </cacheField>
    <cacheField name="REF. NO" numFmtId="0">
      <sharedItems containsString="0" containsBlank="1" containsNumber="1" containsInteger="1" minValue="36" maxValue="594"/>
    </cacheField>
    <cacheField name="SALE" numFmtId="169">
      <sharedItems containsString="0" containsBlank="1" containsNumber="1" containsInteger="1" minValue="1000" maxValue="5000000"/>
    </cacheField>
    <cacheField name="PAYMENT" numFmtId="169">
      <sharedItems containsString="0" containsBlank="1" containsNumber="1" containsInteger="1" minValue="15000" maxValue="100000"/>
    </cacheField>
    <cacheField name="MODE" numFmtId="0">
      <sharedItems containsBlank="1" count="3">
        <m/>
        <s v="Cash"/>
        <s v="Cheque"/>
      </sharedItems>
    </cacheField>
    <cacheField name="MODE NO" numFmtId="0">
      <sharedItems containsString="0" containsBlank="1" containsNumber="1" containsInteger="1" minValue="111" maxValue="123457"/>
    </cacheField>
    <cacheField name="BALANCE" numFmtId="169">
      <sharedItems containsSemiMixedTypes="0" containsString="0" containsNumber="1" containsInteger="1" minValue="548947" maxValue="5584947"/>
    </cacheField>
    <cacheField name="NOTE" numFmtId="0">
      <sharedItems/>
    </cacheField>
    <cacheField name="Month" numFmtId="0">
      <sharedItems count="12">
        <s v="April"/>
        <s v="May"/>
        <s v="June"/>
        <s v="July"/>
        <s v="August"/>
        <s v="September"/>
        <s v="October"/>
        <s v="November"/>
        <s v="December"/>
        <s v="January"/>
        <s v="February"/>
        <s v="March"/>
      </sharedItems>
    </cacheField>
    <cacheField name="Year" numFmtId="0">
      <sharedItems containsSemiMixedTypes="0" containsString="0" containsNumber="1" containsInteger="1" minValue="1900" maxValue="2020" count="3">
        <n v="2019"/>
        <n v="2020"/>
        <n v="19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s v="Tr_1"/>
    <d v="2019-04-05T00:00:00"/>
    <x v="0"/>
    <n v="234"/>
    <n v="156741"/>
    <m/>
    <x v="0"/>
    <n v="111"/>
    <n v="548947"/>
    <s v="OK"/>
    <x v="0"/>
    <x v="0"/>
  </r>
  <r>
    <s v="Tr_2"/>
    <d v="2019-04-06T00:00:00"/>
    <x v="0"/>
    <n v="235"/>
    <n v="50000"/>
    <m/>
    <x v="0"/>
    <n v="123451"/>
    <n v="598947"/>
    <s v="OK"/>
    <x v="0"/>
    <x v="0"/>
  </r>
  <r>
    <s v="Tr_3"/>
    <d v="2019-04-07T00:00:00"/>
    <x v="1"/>
    <n v="236"/>
    <m/>
    <n v="15000"/>
    <x v="0"/>
    <n v="123452"/>
    <n v="583947"/>
    <s v="OK"/>
    <x v="0"/>
    <x v="0"/>
  </r>
  <r>
    <s v="Tr_4"/>
    <d v="2019-04-08T00:00:00"/>
    <x v="0"/>
    <n v="237"/>
    <n v="1000"/>
    <m/>
    <x v="0"/>
    <m/>
    <n v="584947"/>
    <s v="OK"/>
    <x v="0"/>
    <x v="0"/>
  </r>
  <r>
    <s v="Tr_5"/>
    <d v="2019-04-09T00:00:00"/>
    <x v="1"/>
    <n v="238"/>
    <n v="5000000"/>
    <m/>
    <x v="0"/>
    <m/>
    <n v="5584947"/>
    <s v="OK"/>
    <x v="0"/>
    <x v="0"/>
  </r>
  <r>
    <s v="Tr_6"/>
    <d v="2019-04-10T00:00:00"/>
    <x v="0"/>
    <n v="239"/>
    <m/>
    <m/>
    <x v="0"/>
    <m/>
    <n v="5584947"/>
    <s v="OK"/>
    <x v="0"/>
    <x v="0"/>
  </r>
  <r>
    <s v="Tr_7"/>
    <d v="2019-04-11T00:00:00"/>
    <x v="0"/>
    <n v="240"/>
    <m/>
    <n v="50000"/>
    <x v="1"/>
    <m/>
    <n v="5534947"/>
    <s v="OK"/>
    <x v="0"/>
    <x v="0"/>
  </r>
  <r>
    <s v="Tr_8"/>
    <d v="2019-04-12T00:00:00"/>
    <x v="1"/>
    <n v="241"/>
    <m/>
    <m/>
    <x v="0"/>
    <m/>
    <n v="5534947"/>
    <s v="OK"/>
    <x v="0"/>
    <x v="0"/>
  </r>
  <r>
    <s v="Tr_9"/>
    <d v="2019-04-13T00:00:00"/>
    <x v="0"/>
    <n v="242"/>
    <m/>
    <m/>
    <x v="0"/>
    <m/>
    <n v="5534947"/>
    <s v="OK"/>
    <x v="0"/>
    <x v="0"/>
  </r>
  <r>
    <s v="Tr_10"/>
    <d v="2019-04-14T00:00:00"/>
    <x v="1"/>
    <n v="243"/>
    <n v="50000"/>
    <m/>
    <x v="0"/>
    <m/>
    <n v="5584947"/>
    <s v="OK"/>
    <x v="0"/>
    <x v="0"/>
  </r>
  <r>
    <s v="Tr_11"/>
    <d v="2019-04-15T00:00:00"/>
    <x v="0"/>
    <n v="244"/>
    <m/>
    <m/>
    <x v="0"/>
    <m/>
    <n v="5584947"/>
    <s v="OK"/>
    <x v="0"/>
    <x v="0"/>
  </r>
  <r>
    <s v="Tr_12"/>
    <d v="2019-04-16T00:00:00"/>
    <x v="0"/>
    <n v="245"/>
    <m/>
    <m/>
    <x v="0"/>
    <m/>
    <n v="5584947"/>
    <s v="OK"/>
    <x v="0"/>
    <x v="0"/>
  </r>
  <r>
    <s v="Tr_13"/>
    <d v="2019-04-17T00:00:00"/>
    <x v="1"/>
    <n v="246"/>
    <m/>
    <n v="15000"/>
    <x v="1"/>
    <m/>
    <n v="5569947"/>
    <s v="OK"/>
    <x v="0"/>
    <x v="0"/>
  </r>
  <r>
    <s v="Tr_14"/>
    <d v="2019-04-18T00:00:00"/>
    <x v="0"/>
    <n v="247"/>
    <m/>
    <m/>
    <x v="0"/>
    <m/>
    <n v="5569947"/>
    <s v="OK"/>
    <x v="0"/>
    <x v="0"/>
  </r>
  <r>
    <s v="Tr_15"/>
    <d v="2019-04-19T00:00:00"/>
    <x v="1"/>
    <n v="248"/>
    <m/>
    <m/>
    <x v="0"/>
    <m/>
    <n v="5569947"/>
    <s v="OK"/>
    <x v="0"/>
    <x v="0"/>
  </r>
  <r>
    <s v="Tr_16"/>
    <d v="2019-04-20T00:00:00"/>
    <x v="0"/>
    <n v="249"/>
    <m/>
    <n v="50000"/>
    <x v="2"/>
    <n v="123453"/>
    <n v="5519947"/>
    <s v="OK"/>
    <x v="0"/>
    <x v="0"/>
  </r>
  <r>
    <s v="Tr_17"/>
    <d v="2019-04-21T00:00:00"/>
    <x v="0"/>
    <n v="250"/>
    <m/>
    <m/>
    <x v="0"/>
    <m/>
    <n v="5519947"/>
    <s v="OK"/>
    <x v="0"/>
    <x v="0"/>
  </r>
  <r>
    <s v="Tr_18"/>
    <d v="2019-04-22T00:00:00"/>
    <x v="1"/>
    <n v="251"/>
    <n v="50000"/>
    <m/>
    <x v="0"/>
    <m/>
    <n v="5569947"/>
    <s v="OK"/>
    <x v="0"/>
    <x v="0"/>
  </r>
  <r>
    <s v="Tr_19"/>
    <d v="2019-04-23T00:00:00"/>
    <x v="0"/>
    <n v="252"/>
    <m/>
    <m/>
    <x v="0"/>
    <m/>
    <n v="5569947"/>
    <s v="OK"/>
    <x v="0"/>
    <x v="0"/>
  </r>
  <r>
    <s v="Tr_20"/>
    <d v="2019-04-24T00:00:00"/>
    <x v="0"/>
    <n v="253"/>
    <m/>
    <n v="100000"/>
    <x v="1"/>
    <m/>
    <n v="5469947"/>
    <s v="OK"/>
    <x v="0"/>
    <x v="0"/>
  </r>
  <r>
    <s v="Tr_21"/>
    <d v="2019-04-25T00:00:00"/>
    <x v="1"/>
    <n v="254"/>
    <m/>
    <m/>
    <x v="0"/>
    <m/>
    <n v="5469947"/>
    <s v="OK"/>
    <x v="0"/>
    <x v="0"/>
  </r>
  <r>
    <s v="Tr_22"/>
    <d v="2019-04-26T00:00:00"/>
    <x v="0"/>
    <n v="255"/>
    <m/>
    <m/>
    <x v="0"/>
    <m/>
    <n v="5469947"/>
    <s v="OK"/>
    <x v="0"/>
    <x v="0"/>
  </r>
  <r>
    <s v="Tr_23"/>
    <d v="2019-04-27T00:00:00"/>
    <x v="1"/>
    <n v="256"/>
    <m/>
    <m/>
    <x v="0"/>
    <m/>
    <n v="5469947"/>
    <s v="OK"/>
    <x v="0"/>
    <x v="0"/>
  </r>
  <r>
    <s v="Tr_24"/>
    <d v="2019-04-28T00:00:00"/>
    <x v="0"/>
    <n v="257"/>
    <n v="50000"/>
    <m/>
    <x v="0"/>
    <m/>
    <n v="5519947"/>
    <s v="OK"/>
    <x v="0"/>
    <x v="0"/>
  </r>
  <r>
    <s v="Tr_25"/>
    <d v="2019-04-29T00:00:00"/>
    <x v="0"/>
    <n v="258"/>
    <m/>
    <m/>
    <x v="0"/>
    <m/>
    <n v="5519947"/>
    <s v="OK"/>
    <x v="0"/>
    <x v="0"/>
  </r>
  <r>
    <s v="Tr_26"/>
    <d v="2019-04-30T00:00:00"/>
    <x v="1"/>
    <n v="259"/>
    <m/>
    <n v="50000"/>
    <x v="1"/>
    <m/>
    <n v="5469947"/>
    <s v="OK"/>
    <x v="0"/>
    <x v="0"/>
  </r>
  <r>
    <s v="Tr_27"/>
    <d v="2019-05-01T00:00:00"/>
    <x v="0"/>
    <n v="260"/>
    <m/>
    <m/>
    <x v="0"/>
    <m/>
    <n v="5469947"/>
    <s v="OK"/>
    <x v="1"/>
    <x v="0"/>
  </r>
  <r>
    <s v="Tr_28"/>
    <d v="2019-05-02T00:00:00"/>
    <x v="1"/>
    <n v="261"/>
    <m/>
    <n v="100000"/>
    <x v="1"/>
    <m/>
    <n v="5369947"/>
    <s v="OK"/>
    <x v="1"/>
    <x v="0"/>
  </r>
  <r>
    <s v="Tr_29"/>
    <d v="2019-05-03T00:00:00"/>
    <x v="0"/>
    <n v="262"/>
    <n v="50000"/>
    <m/>
    <x v="0"/>
    <m/>
    <n v="5419947"/>
    <s v="OK"/>
    <x v="1"/>
    <x v="0"/>
  </r>
  <r>
    <s v="Tr_30"/>
    <d v="2019-05-04T00:00:00"/>
    <x v="1"/>
    <n v="263"/>
    <m/>
    <m/>
    <x v="0"/>
    <m/>
    <n v="5419947"/>
    <s v="OK"/>
    <x v="1"/>
    <x v="0"/>
  </r>
  <r>
    <s v="Tr_31"/>
    <d v="2019-05-05T00:00:00"/>
    <x v="0"/>
    <n v="264"/>
    <m/>
    <m/>
    <x v="0"/>
    <m/>
    <n v="5419947"/>
    <s v="OK"/>
    <x v="1"/>
    <x v="0"/>
  </r>
  <r>
    <s v="Tr_32"/>
    <d v="2019-05-06T00:00:00"/>
    <x v="1"/>
    <n v="265"/>
    <m/>
    <m/>
    <x v="0"/>
    <m/>
    <n v="5419947"/>
    <s v="OK"/>
    <x v="1"/>
    <x v="0"/>
  </r>
  <r>
    <s v="Tr_33"/>
    <d v="2019-05-07T00:00:00"/>
    <x v="0"/>
    <n v="266"/>
    <m/>
    <m/>
    <x v="0"/>
    <m/>
    <n v="5419947"/>
    <s v="OK"/>
    <x v="1"/>
    <x v="0"/>
  </r>
  <r>
    <s v="Tr_34"/>
    <d v="2019-05-08T00:00:00"/>
    <x v="1"/>
    <n v="267"/>
    <m/>
    <n v="50000"/>
    <x v="2"/>
    <n v="123454"/>
    <n v="5369947"/>
    <s v="OK"/>
    <x v="1"/>
    <x v="0"/>
  </r>
  <r>
    <s v="Tr_35"/>
    <d v="2019-05-09T00:00:00"/>
    <x v="0"/>
    <n v="268"/>
    <m/>
    <m/>
    <x v="0"/>
    <m/>
    <n v="5369947"/>
    <s v="OK"/>
    <x v="1"/>
    <x v="0"/>
  </r>
  <r>
    <s v="Tr_36"/>
    <d v="2019-05-10T00:00:00"/>
    <x v="0"/>
    <n v="269"/>
    <n v="50000"/>
    <m/>
    <x v="0"/>
    <m/>
    <n v="5419947"/>
    <s v="OK"/>
    <x v="1"/>
    <x v="0"/>
  </r>
  <r>
    <s v="Tr_37"/>
    <d v="2019-05-11T00:00:00"/>
    <x v="1"/>
    <n v="270"/>
    <m/>
    <m/>
    <x v="0"/>
    <m/>
    <n v="5419947"/>
    <s v="OK"/>
    <x v="1"/>
    <x v="0"/>
  </r>
  <r>
    <s v="Tr_38"/>
    <d v="2019-05-12T00:00:00"/>
    <x v="0"/>
    <n v="271"/>
    <m/>
    <m/>
    <x v="0"/>
    <m/>
    <n v="5419947"/>
    <s v="OK"/>
    <x v="1"/>
    <x v="0"/>
  </r>
  <r>
    <s v="Tr_39"/>
    <d v="2019-05-13T00:00:00"/>
    <x v="1"/>
    <n v="272"/>
    <m/>
    <n v="100000"/>
    <x v="2"/>
    <n v="123455"/>
    <n v="5319947"/>
    <s v="OK"/>
    <x v="1"/>
    <x v="0"/>
  </r>
  <r>
    <s v="Tr_40"/>
    <d v="2019-05-14T00:00:00"/>
    <x v="0"/>
    <n v="273"/>
    <m/>
    <m/>
    <x v="0"/>
    <m/>
    <n v="5319947"/>
    <s v="OK"/>
    <x v="1"/>
    <x v="0"/>
  </r>
  <r>
    <s v="Tr_41"/>
    <d v="2019-05-15T00:00:00"/>
    <x v="0"/>
    <n v="274"/>
    <n v="100000"/>
    <m/>
    <x v="0"/>
    <m/>
    <n v="5419947"/>
    <s v="OK"/>
    <x v="1"/>
    <x v="0"/>
  </r>
  <r>
    <s v="Tr_42"/>
    <d v="2019-05-16T00:00:00"/>
    <x v="1"/>
    <n v="275"/>
    <m/>
    <m/>
    <x v="0"/>
    <m/>
    <n v="5419947"/>
    <s v="OK"/>
    <x v="1"/>
    <x v="0"/>
  </r>
  <r>
    <s v="Tr_43"/>
    <d v="2019-05-17T00:00:00"/>
    <x v="0"/>
    <n v="276"/>
    <m/>
    <m/>
    <x v="0"/>
    <m/>
    <n v="5419947"/>
    <s v="OK"/>
    <x v="1"/>
    <x v="0"/>
  </r>
  <r>
    <s v="Tr_44"/>
    <d v="2019-05-18T00:00:00"/>
    <x v="1"/>
    <n v="277"/>
    <m/>
    <m/>
    <x v="0"/>
    <m/>
    <n v="5419947"/>
    <s v="OK"/>
    <x v="1"/>
    <x v="0"/>
  </r>
  <r>
    <s v="Tr_45"/>
    <d v="2019-05-19T00:00:00"/>
    <x v="0"/>
    <n v="278"/>
    <m/>
    <n v="50000"/>
    <x v="2"/>
    <n v="123456"/>
    <n v="5369947"/>
    <s v="OK"/>
    <x v="1"/>
    <x v="0"/>
  </r>
  <r>
    <s v="Tr_46"/>
    <d v="2019-05-20T00:00:00"/>
    <x v="0"/>
    <n v="279"/>
    <m/>
    <m/>
    <x v="0"/>
    <m/>
    <n v="5369947"/>
    <s v="OK"/>
    <x v="1"/>
    <x v="0"/>
  </r>
  <r>
    <s v="Tr_47"/>
    <d v="2019-05-21T00:00:00"/>
    <x v="1"/>
    <n v="280"/>
    <m/>
    <m/>
    <x v="0"/>
    <m/>
    <n v="5369947"/>
    <s v="OK"/>
    <x v="1"/>
    <x v="0"/>
  </r>
  <r>
    <s v="Tr_48"/>
    <d v="2019-05-22T00:00:00"/>
    <x v="0"/>
    <n v="281"/>
    <m/>
    <m/>
    <x v="0"/>
    <m/>
    <n v="5369947"/>
    <s v="OK"/>
    <x v="1"/>
    <x v="0"/>
  </r>
  <r>
    <s v="Tr_49"/>
    <d v="2019-05-23T00:00:00"/>
    <x v="0"/>
    <n v="282"/>
    <m/>
    <m/>
    <x v="0"/>
    <m/>
    <n v="5369947"/>
    <s v="OK"/>
    <x v="1"/>
    <x v="0"/>
  </r>
  <r>
    <s v="Tr_50"/>
    <d v="2019-05-24T00:00:00"/>
    <x v="1"/>
    <n v="283"/>
    <m/>
    <m/>
    <x v="0"/>
    <m/>
    <n v="5369947"/>
    <s v="OK"/>
    <x v="1"/>
    <x v="0"/>
  </r>
  <r>
    <s v="Tr_51"/>
    <d v="2019-05-25T00:00:00"/>
    <x v="0"/>
    <n v="284"/>
    <m/>
    <n v="100000"/>
    <x v="2"/>
    <n v="123457"/>
    <n v="5269947"/>
    <s v="OK"/>
    <x v="1"/>
    <x v="0"/>
  </r>
  <r>
    <s v="Tr_52"/>
    <d v="2019-05-26T00:00:00"/>
    <x v="1"/>
    <n v="285"/>
    <m/>
    <m/>
    <x v="0"/>
    <m/>
    <n v="5269947"/>
    <s v="OK"/>
    <x v="1"/>
    <x v="0"/>
  </r>
  <r>
    <s v="Tr_53"/>
    <d v="2019-05-27T00:00:00"/>
    <x v="0"/>
    <n v="286"/>
    <n v="100000"/>
    <m/>
    <x v="0"/>
    <m/>
    <n v="5369947"/>
    <s v="OK"/>
    <x v="1"/>
    <x v="0"/>
  </r>
  <r>
    <s v="Tr_54"/>
    <d v="2019-05-28T00:00:00"/>
    <x v="0"/>
    <n v="287"/>
    <m/>
    <m/>
    <x v="0"/>
    <m/>
    <n v="5369947"/>
    <s v="OK"/>
    <x v="1"/>
    <x v="0"/>
  </r>
  <r>
    <s v="Tr_55"/>
    <d v="2019-05-29T00:00:00"/>
    <x v="1"/>
    <n v="288"/>
    <m/>
    <m/>
    <x v="0"/>
    <m/>
    <n v="5369947"/>
    <s v="OK"/>
    <x v="1"/>
    <x v="0"/>
  </r>
  <r>
    <s v="Tr_56"/>
    <d v="2019-05-30T00:00:00"/>
    <x v="0"/>
    <n v="289"/>
    <m/>
    <m/>
    <x v="0"/>
    <m/>
    <n v="5369947"/>
    <s v="OK"/>
    <x v="1"/>
    <x v="0"/>
  </r>
  <r>
    <s v="Tr_57"/>
    <d v="2019-05-31T00:00:00"/>
    <x v="1"/>
    <n v="290"/>
    <m/>
    <m/>
    <x v="0"/>
    <m/>
    <n v="5369947"/>
    <s v="OK"/>
    <x v="1"/>
    <x v="0"/>
  </r>
  <r>
    <s v="Tr_58"/>
    <d v="2019-06-01T00:00:00"/>
    <x v="0"/>
    <n v="291"/>
    <m/>
    <m/>
    <x v="0"/>
    <m/>
    <n v="5369947"/>
    <s v="OK"/>
    <x v="2"/>
    <x v="0"/>
  </r>
  <r>
    <s v="Tr_59"/>
    <d v="2019-06-02T00:00:00"/>
    <x v="1"/>
    <n v="292"/>
    <m/>
    <m/>
    <x v="0"/>
    <m/>
    <n v="5369947"/>
    <s v="OK"/>
    <x v="2"/>
    <x v="0"/>
  </r>
  <r>
    <s v="Tr_60"/>
    <d v="2019-06-03T00:00:00"/>
    <x v="0"/>
    <n v="293"/>
    <m/>
    <m/>
    <x v="0"/>
    <m/>
    <n v="5369947"/>
    <s v="OK"/>
    <x v="2"/>
    <x v="0"/>
  </r>
  <r>
    <s v="Tr_61"/>
    <d v="2019-06-04T00:00:00"/>
    <x v="1"/>
    <n v="294"/>
    <m/>
    <m/>
    <x v="0"/>
    <m/>
    <n v="5369947"/>
    <s v="OK"/>
    <x v="2"/>
    <x v="0"/>
  </r>
  <r>
    <s v="Tr_62"/>
    <d v="2019-06-05T00:00:00"/>
    <x v="0"/>
    <n v="295"/>
    <m/>
    <m/>
    <x v="0"/>
    <m/>
    <n v="5369947"/>
    <s v="OK"/>
    <x v="2"/>
    <x v="0"/>
  </r>
  <r>
    <s v="Tr_63"/>
    <d v="2019-06-06T00:00:00"/>
    <x v="1"/>
    <n v="296"/>
    <m/>
    <m/>
    <x v="0"/>
    <m/>
    <n v="5369947"/>
    <s v="OK"/>
    <x v="2"/>
    <x v="0"/>
  </r>
  <r>
    <s v="Tr_64"/>
    <d v="2019-06-07T00:00:00"/>
    <x v="0"/>
    <n v="297"/>
    <m/>
    <n v="100000"/>
    <x v="0"/>
    <m/>
    <n v="5269947"/>
    <s v="OK"/>
    <x v="2"/>
    <x v="0"/>
  </r>
  <r>
    <s v="Tr_65"/>
    <d v="2019-06-08T00:00:00"/>
    <x v="0"/>
    <n v="298"/>
    <m/>
    <m/>
    <x v="0"/>
    <m/>
    <n v="5269947"/>
    <s v="OK"/>
    <x v="2"/>
    <x v="0"/>
  </r>
  <r>
    <s v="Tr_66"/>
    <d v="2019-06-09T00:00:00"/>
    <x v="1"/>
    <n v="299"/>
    <m/>
    <m/>
    <x v="0"/>
    <m/>
    <n v="5269947"/>
    <s v="OK"/>
    <x v="2"/>
    <x v="0"/>
  </r>
  <r>
    <s v="Tr_67"/>
    <d v="2019-06-10T00:00:00"/>
    <x v="0"/>
    <n v="300"/>
    <m/>
    <m/>
    <x v="0"/>
    <m/>
    <n v="5269947"/>
    <s v="OK"/>
    <x v="2"/>
    <x v="0"/>
  </r>
  <r>
    <s v="Tr_68"/>
    <d v="2019-06-11T00:00:00"/>
    <x v="1"/>
    <n v="301"/>
    <n v="100000"/>
    <m/>
    <x v="0"/>
    <m/>
    <n v="5369947"/>
    <s v="OK"/>
    <x v="2"/>
    <x v="0"/>
  </r>
  <r>
    <s v="Tr_69"/>
    <d v="2019-06-12T00:00:00"/>
    <x v="0"/>
    <n v="302"/>
    <m/>
    <m/>
    <x v="0"/>
    <m/>
    <n v="5369947"/>
    <s v="OK"/>
    <x v="2"/>
    <x v="0"/>
  </r>
  <r>
    <s v="Tr_70"/>
    <d v="2019-06-13T00:00:00"/>
    <x v="0"/>
    <n v="303"/>
    <m/>
    <m/>
    <x v="0"/>
    <m/>
    <n v="5369947"/>
    <s v="OK"/>
    <x v="2"/>
    <x v="0"/>
  </r>
  <r>
    <s v="Tr_71"/>
    <d v="2019-06-14T00:00:00"/>
    <x v="1"/>
    <n v="304"/>
    <m/>
    <m/>
    <x v="0"/>
    <m/>
    <n v="5369947"/>
    <s v="OK"/>
    <x v="2"/>
    <x v="0"/>
  </r>
  <r>
    <s v="Tr_72"/>
    <d v="2019-06-15T00:00:00"/>
    <x v="0"/>
    <n v="305"/>
    <m/>
    <m/>
    <x v="0"/>
    <m/>
    <n v="5369947"/>
    <s v="OK"/>
    <x v="2"/>
    <x v="0"/>
  </r>
  <r>
    <s v="Tr_73"/>
    <d v="2019-06-16T00:00:00"/>
    <x v="1"/>
    <n v="306"/>
    <m/>
    <m/>
    <x v="0"/>
    <m/>
    <n v="5369947"/>
    <s v="OK"/>
    <x v="2"/>
    <x v="0"/>
  </r>
  <r>
    <s v="Tr_74"/>
    <d v="2019-06-17T00:00:00"/>
    <x v="0"/>
    <n v="307"/>
    <m/>
    <m/>
    <x v="0"/>
    <m/>
    <n v="5369947"/>
    <s v="OK"/>
    <x v="2"/>
    <x v="0"/>
  </r>
  <r>
    <s v="Tr_75"/>
    <d v="2019-06-18T00:00:00"/>
    <x v="0"/>
    <n v="36"/>
    <m/>
    <m/>
    <x v="0"/>
    <m/>
    <n v="5369947"/>
    <s v="OK"/>
    <x v="2"/>
    <x v="0"/>
  </r>
  <r>
    <s v="Tr_76"/>
    <d v="2019-06-19T00:00:00"/>
    <x v="1"/>
    <n v="362"/>
    <m/>
    <n v="100000"/>
    <x v="0"/>
    <m/>
    <n v="5269947"/>
    <s v="OK"/>
    <x v="2"/>
    <x v="0"/>
  </r>
  <r>
    <s v="Tr_77"/>
    <d v="2019-06-20T00:00:00"/>
    <x v="0"/>
    <n v="356"/>
    <m/>
    <m/>
    <x v="0"/>
    <m/>
    <n v="5269947"/>
    <s v="OK"/>
    <x v="2"/>
    <x v="0"/>
  </r>
  <r>
    <s v="Tr_78"/>
    <d v="2019-06-21T00:00:00"/>
    <x v="0"/>
    <n v="311"/>
    <m/>
    <m/>
    <x v="0"/>
    <m/>
    <n v="5269947"/>
    <s v="OK"/>
    <x v="2"/>
    <x v="0"/>
  </r>
  <r>
    <s v="Tr_79"/>
    <d v="2019-06-22T00:00:00"/>
    <x v="1"/>
    <n v="312"/>
    <n v="100000"/>
    <m/>
    <x v="0"/>
    <m/>
    <n v="5369947"/>
    <s v="OK"/>
    <x v="2"/>
    <x v="0"/>
  </r>
  <r>
    <s v="Tr_80"/>
    <d v="2019-06-23T00:00:00"/>
    <x v="0"/>
    <n v="313"/>
    <m/>
    <m/>
    <x v="0"/>
    <m/>
    <n v="5369947"/>
    <s v="OK"/>
    <x v="2"/>
    <x v="0"/>
  </r>
  <r>
    <s v="Tr_81"/>
    <d v="2019-06-24T00:00:00"/>
    <x v="1"/>
    <n v="314"/>
    <m/>
    <m/>
    <x v="0"/>
    <m/>
    <n v="5369947"/>
    <s v="OK"/>
    <x v="2"/>
    <x v="0"/>
  </r>
  <r>
    <s v="Tr_82"/>
    <d v="2019-06-25T00:00:00"/>
    <x v="0"/>
    <n v="315"/>
    <m/>
    <m/>
    <x v="0"/>
    <m/>
    <n v="5369947"/>
    <s v="OK"/>
    <x v="2"/>
    <x v="0"/>
  </r>
  <r>
    <s v="Tr_83"/>
    <d v="2019-06-26T00:00:00"/>
    <x v="0"/>
    <n v="316"/>
    <m/>
    <m/>
    <x v="0"/>
    <m/>
    <n v="5369947"/>
    <s v="OK"/>
    <x v="2"/>
    <x v="0"/>
  </r>
  <r>
    <s v="Tr_84"/>
    <d v="2019-06-27T00:00:00"/>
    <x v="1"/>
    <n v="317"/>
    <m/>
    <m/>
    <x v="0"/>
    <m/>
    <n v="5369947"/>
    <s v="OK"/>
    <x v="2"/>
    <x v="0"/>
  </r>
  <r>
    <s v="Tr_85"/>
    <d v="2019-06-28T00:00:00"/>
    <x v="0"/>
    <n v="318"/>
    <m/>
    <m/>
    <x v="0"/>
    <m/>
    <n v="5369947"/>
    <s v="OK"/>
    <x v="2"/>
    <x v="0"/>
  </r>
  <r>
    <s v="Tr_86"/>
    <d v="2019-06-29T00:00:00"/>
    <x v="1"/>
    <n v="319"/>
    <m/>
    <m/>
    <x v="0"/>
    <m/>
    <n v="5369947"/>
    <s v="OK"/>
    <x v="2"/>
    <x v="0"/>
  </r>
  <r>
    <s v="Tr_87"/>
    <d v="2019-06-30T00:00:00"/>
    <x v="0"/>
    <n v="320"/>
    <m/>
    <m/>
    <x v="0"/>
    <m/>
    <n v="5369947"/>
    <s v="OK"/>
    <x v="2"/>
    <x v="0"/>
  </r>
  <r>
    <s v="Tr_88"/>
    <d v="2019-07-01T00:00:00"/>
    <x v="1"/>
    <n v="321"/>
    <m/>
    <m/>
    <x v="0"/>
    <m/>
    <n v="5369947"/>
    <s v="OK"/>
    <x v="3"/>
    <x v="0"/>
  </r>
  <r>
    <s v="Tr_89"/>
    <d v="2019-07-02T00:00:00"/>
    <x v="0"/>
    <n v="322"/>
    <m/>
    <n v="100000"/>
    <x v="0"/>
    <m/>
    <n v="5269947"/>
    <s v="OK"/>
    <x v="3"/>
    <x v="0"/>
  </r>
  <r>
    <s v="Tr_90"/>
    <d v="2019-07-03T00:00:00"/>
    <x v="1"/>
    <n v="323"/>
    <m/>
    <m/>
    <x v="0"/>
    <m/>
    <n v="5269947"/>
    <s v="OK"/>
    <x v="3"/>
    <x v="0"/>
  </r>
  <r>
    <s v="Tr_91"/>
    <d v="2019-07-04T00:00:00"/>
    <x v="0"/>
    <n v="324"/>
    <m/>
    <m/>
    <x v="0"/>
    <m/>
    <n v="5269947"/>
    <s v="OK"/>
    <x v="3"/>
    <x v="0"/>
  </r>
  <r>
    <s v="Tr_92"/>
    <d v="2019-07-05T00:00:00"/>
    <x v="1"/>
    <n v="325"/>
    <m/>
    <m/>
    <x v="0"/>
    <m/>
    <n v="5269947"/>
    <s v="OK"/>
    <x v="3"/>
    <x v="0"/>
  </r>
  <r>
    <s v="Tr_93"/>
    <d v="2019-07-06T00:00:00"/>
    <x v="0"/>
    <n v="326"/>
    <m/>
    <m/>
    <x v="0"/>
    <m/>
    <n v="5269947"/>
    <s v="OK"/>
    <x v="3"/>
    <x v="0"/>
  </r>
  <r>
    <s v="Tr_94"/>
    <d v="2019-07-07T00:00:00"/>
    <x v="0"/>
    <n v="327"/>
    <m/>
    <m/>
    <x v="0"/>
    <m/>
    <n v="5269947"/>
    <s v="OK"/>
    <x v="3"/>
    <x v="0"/>
  </r>
  <r>
    <s v="Tr_95"/>
    <d v="2019-07-08T00:00:00"/>
    <x v="1"/>
    <n v="328"/>
    <m/>
    <m/>
    <x v="0"/>
    <m/>
    <n v="5269947"/>
    <s v="OK"/>
    <x v="3"/>
    <x v="0"/>
  </r>
  <r>
    <s v="Tr_96"/>
    <d v="2019-07-09T00:00:00"/>
    <x v="0"/>
    <n v="329"/>
    <m/>
    <m/>
    <x v="0"/>
    <m/>
    <n v="5269947"/>
    <s v="OK"/>
    <x v="3"/>
    <x v="0"/>
  </r>
  <r>
    <s v="Tr_97"/>
    <d v="2019-07-10T00:00:00"/>
    <x v="1"/>
    <n v="330"/>
    <m/>
    <m/>
    <x v="0"/>
    <m/>
    <n v="5269947"/>
    <s v="OK"/>
    <x v="3"/>
    <x v="0"/>
  </r>
  <r>
    <s v="Tr_98"/>
    <d v="2019-07-11T00:00:00"/>
    <x v="0"/>
    <n v="331"/>
    <m/>
    <m/>
    <x v="0"/>
    <m/>
    <n v="5269947"/>
    <s v="OK"/>
    <x v="3"/>
    <x v="0"/>
  </r>
  <r>
    <s v="Tr_99"/>
    <d v="2019-07-12T00:00:00"/>
    <x v="0"/>
    <n v="332"/>
    <m/>
    <m/>
    <x v="0"/>
    <m/>
    <n v="5269947"/>
    <s v="OK"/>
    <x v="3"/>
    <x v="0"/>
  </r>
  <r>
    <s v="Tr_100"/>
    <d v="2019-07-13T00:00:00"/>
    <x v="1"/>
    <n v="333"/>
    <m/>
    <m/>
    <x v="0"/>
    <m/>
    <n v="5269947"/>
    <s v="OK"/>
    <x v="3"/>
    <x v="0"/>
  </r>
  <r>
    <s v="Tr_101"/>
    <d v="2019-07-14T00:00:00"/>
    <x v="0"/>
    <n v="334"/>
    <m/>
    <n v="100000"/>
    <x v="0"/>
    <m/>
    <n v="5169947"/>
    <s v="OK"/>
    <x v="3"/>
    <x v="0"/>
  </r>
  <r>
    <s v="Tr_102"/>
    <d v="2019-07-15T00:00:00"/>
    <x v="1"/>
    <n v="335"/>
    <m/>
    <m/>
    <x v="0"/>
    <m/>
    <n v="5169947"/>
    <s v="OK"/>
    <x v="3"/>
    <x v="0"/>
  </r>
  <r>
    <s v="Tr_103"/>
    <d v="2019-07-16T00:00:00"/>
    <x v="0"/>
    <n v="336"/>
    <m/>
    <m/>
    <x v="0"/>
    <m/>
    <n v="5169947"/>
    <s v="OK"/>
    <x v="3"/>
    <x v="0"/>
  </r>
  <r>
    <s v="Tr_104"/>
    <d v="2019-07-17T00:00:00"/>
    <x v="0"/>
    <n v="337"/>
    <m/>
    <m/>
    <x v="0"/>
    <m/>
    <n v="5169947"/>
    <s v="OK"/>
    <x v="3"/>
    <x v="0"/>
  </r>
  <r>
    <s v="Tr_105"/>
    <d v="2019-07-18T00:00:00"/>
    <x v="1"/>
    <n v="338"/>
    <m/>
    <m/>
    <x v="0"/>
    <m/>
    <n v="5169947"/>
    <s v="OK"/>
    <x v="3"/>
    <x v="0"/>
  </r>
  <r>
    <s v="Tr_106"/>
    <d v="2019-07-19T00:00:00"/>
    <x v="0"/>
    <n v="339"/>
    <n v="2000"/>
    <m/>
    <x v="0"/>
    <m/>
    <n v="5171947"/>
    <s v="OK"/>
    <x v="3"/>
    <x v="0"/>
  </r>
  <r>
    <s v="Tr_107"/>
    <d v="2019-07-20T00:00:00"/>
    <x v="0"/>
    <n v="340"/>
    <m/>
    <m/>
    <x v="0"/>
    <m/>
    <n v="5171947"/>
    <s v="OK"/>
    <x v="3"/>
    <x v="0"/>
  </r>
  <r>
    <s v="Tr_108"/>
    <d v="2019-07-21T00:00:00"/>
    <x v="1"/>
    <n v="341"/>
    <m/>
    <n v="100000"/>
    <x v="0"/>
    <m/>
    <n v="5071947"/>
    <s v="OK"/>
    <x v="3"/>
    <x v="0"/>
  </r>
  <r>
    <s v="Tr_109"/>
    <d v="2020-04-05T00:00:00"/>
    <x v="0"/>
    <n v="342"/>
    <n v="100000"/>
    <m/>
    <x v="0"/>
    <m/>
    <n v="5171947"/>
    <s v="OK"/>
    <x v="0"/>
    <x v="1"/>
  </r>
  <r>
    <s v="Tr_110"/>
    <d v="2019-07-23T00:00:00"/>
    <x v="2"/>
    <n v="343"/>
    <m/>
    <m/>
    <x v="0"/>
    <m/>
    <n v="5171947"/>
    <s v="OK"/>
    <x v="3"/>
    <x v="0"/>
  </r>
  <r>
    <s v="Tr_111"/>
    <d v="2019-07-24T00:00:00"/>
    <x v="2"/>
    <n v="344"/>
    <m/>
    <m/>
    <x v="0"/>
    <m/>
    <n v="5171947"/>
    <s v="OK"/>
    <x v="3"/>
    <x v="0"/>
  </r>
  <r>
    <s v="Tr_112"/>
    <d v="2019-07-25T00:00:00"/>
    <x v="2"/>
    <n v="345"/>
    <m/>
    <m/>
    <x v="0"/>
    <m/>
    <n v="5171947"/>
    <s v="OK"/>
    <x v="3"/>
    <x v="0"/>
  </r>
  <r>
    <s v="Tr_113"/>
    <d v="2019-07-26T00:00:00"/>
    <x v="2"/>
    <n v="346"/>
    <m/>
    <m/>
    <x v="0"/>
    <m/>
    <n v="5171947"/>
    <s v="OK"/>
    <x v="3"/>
    <x v="0"/>
  </r>
  <r>
    <s v="Tr_114"/>
    <d v="2019-07-27T00:00:00"/>
    <x v="2"/>
    <n v="347"/>
    <m/>
    <m/>
    <x v="0"/>
    <m/>
    <n v="5171947"/>
    <s v="OK"/>
    <x v="3"/>
    <x v="0"/>
  </r>
  <r>
    <s v="Tr_115"/>
    <d v="2019-07-28T00:00:00"/>
    <x v="2"/>
    <n v="348"/>
    <m/>
    <m/>
    <x v="0"/>
    <m/>
    <n v="5171947"/>
    <s v="OK"/>
    <x v="3"/>
    <x v="0"/>
  </r>
  <r>
    <s v="Tr_116"/>
    <d v="2019-07-29T00:00:00"/>
    <x v="2"/>
    <n v="349"/>
    <m/>
    <m/>
    <x v="0"/>
    <m/>
    <n v="5171947"/>
    <s v="OK"/>
    <x v="3"/>
    <x v="0"/>
  </r>
  <r>
    <s v="Tr_117"/>
    <d v="2019-07-30T00:00:00"/>
    <x v="2"/>
    <n v="350"/>
    <m/>
    <m/>
    <x v="0"/>
    <m/>
    <n v="5171947"/>
    <s v="OK"/>
    <x v="3"/>
    <x v="0"/>
  </r>
  <r>
    <s v="Tr_118"/>
    <d v="2019-07-31T00:00:00"/>
    <x v="2"/>
    <n v="351"/>
    <m/>
    <m/>
    <x v="0"/>
    <m/>
    <n v="5171947"/>
    <s v="OK"/>
    <x v="3"/>
    <x v="0"/>
  </r>
  <r>
    <s v="Tr_119"/>
    <d v="2019-08-01T00:00:00"/>
    <x v="2"/>
    <n v="352"/>
    <m/>
    <m/>
    <x v="0"/>
    <m/>
    <n v="5171947"/>
    <s v="OK"/>
    <x v="4"/>
    <x v="0"/>
  </r>
  <r>
    <s v="Tr_120"/>
    <d v="2019-08-02T00:00:00"/>
    <x v="2"/>
    <n v="353"/>
    <m/>
    <m/>
    <x v="0"/>
    <m/>
    <n v="5171947"/>
    <s v="OK"/>
    <x v="4"/>
    <x v="0"/>
  </r>
  <r>
    <s v="Tr_121"/>
    <d v="2019-08-03T00:00:00"/>
    <x v="2"/>
    <n v="354"/>
    <m/>
    <m/>
    <x v="0"/>
    <m/>
    <n v="5171947"/>
    <s v="OK"/>
    <x v="4"/>
    <x v="0"/>
  </r>
  <r>
    <s v="Tr_122"/>
    <d v="2019-08-04T00:00:00"/>
    <x v="2"/>
    <n v="355"/>
    <m/>
    <m/>
    <x v="0"/>
    <m/>
    <n v="5171947"/>
    <s v="OK"/>
    <x v="4"/>
    <x v="0"/>
  </r>
  <r>
    <s v="Tr_123"/>
    <d v="2019-08-05T00:00:00"/>
    <x v="2"/>
    <n v="356"/>
    <m/>
    <m/>
    <x v="0"/>
    <m/>
    <n v="5171947"/>
    <s v="OK"/>
    <x v="4"/>
    <x v="0"/>
  </r>
  <r>
    <s v="Tr_124"/>
    <d v="2019-08-06T00:00:00"/>
    <x v="2"/>
    <n v="357"/>
    <m/>
    <m/>
    <x v="0"/>
    <m/>
    <n v="5171947"/>
    <s v="OK"/>
    <x v="4"/>
    <x v="0"/>
  </r>
  <r>
    <s v="Tr_125"/>
    <d v="2019-08-07T00:00:00"/>
    <x v="2"/>
    <n v="358"/>
    <m/>
    <m/>
    <x v="0"/>
    <m/>
    <n v="5171947"/>
    <s v="OK"/>
    <x v="4"/>
    <x v="0"/>
  </r>
  <r>
    <s v="Tr_126"/>
    <d v="2019-08-08T00:00:00"/>
    <x v="2"/>
    <n v="359"/>
    <m/>
    <m/>
    <x v="0"/>
    <m/>
    <n v="5171947"/>
    <s v="OK"/>
    <x v="4"/>
    <x v="0"/>
  </r>
  <r>
    <s v="Tr_127"/>
    <d v="2019-08-09T00:00:00"/>
    <x v="2"/>
    <n v="360"/>
    <m/>
    <m/>
    <x v="0"/>
    <m/>
    <n v="5171947"/>
    <s v="OK"/>
    <x v="4"/>
    <x v="0"/>
  </r>
  <r>
    <s v="Tr_128"/>
    <d v="2019-08-10T00:00:00"/>
    <x v="2"/>
    <n v="361"/>
    <m/>
    <m/>
    <x v="0"/>
    <m/>
    <n v="5171947"/>
    <s v="OK"/>
    <x v="4"/>
    <x v="0"/>
  </r>
  <r>
    <s v="Tr_129"/>
    <d v="2019-08-11T00:00:00"/>
    <x v="2"/>
    <n v="362"/>
    <m/>
    <m/>
    <x v="0"/>
    <m/>
    <n v="5171947"/>
    <s v="OK"/>
    <x v="4"/>
    <x v="0"/>
  </r>
  <r>
    <s v="Tr_130"/>
    <d v="2019-08-12T00:00:00"/>
    <x v="2"/>
    <n v="363"/>
    <m/>
    <m/>
    <x v="0"/>
    <m/>
    <n v="5171947"/>
    <s v="OK"/>
    <x v="4"/>
    <x v="0"/>
  </r>
  <r>
    <s v="Tr_131"/>
    <d v="2019-08-13T00:00:00"/>
    <x v="2"/>
    <n v="364"/>
    <m/>
    <m/>
    <x v="0"/>
    <m/>
    <n v="5171947"/>
    <s v="OK"/>
    <x v="4"/>
    <x v="0"/>
  </r>
  <r>
    <s v="Tr_132"/>
    <d v="2019-08-14T00:00:00"/>
    <x v="2"/>
    <n v="365"/>
    <m/>
    <m/>
    <x v="0"/>
    <m/>
    <n v="5171947"/>
    <s v="OK"/>
    <x v="4"/>
    <x v="0"/>
  </r>
  <r>
    <s v="Tr_133"/>
    <d v="2019-08-15T00:00:00"/>
    <x v="2"/>
    <n v="366"/>
    <m/>
    <m/>
    <x v="0"/>
    <m/>
    <n v="5171947"/>
    <s v="OK"/>
    <x v="4"/>
    <x v="0"/>
  </r>
  <r>
    <s v="Tr_134"/>
    <d v="2019-08-16T00:00:00"/>
    <x v="2"/>
    <n v="367"/>
    <m/>
    <m/>
    <x v="0"/>
    <m/>
    <n v="5171947"/>
    <s v="OK"/>
    <x v="4"/>
    <x v="0"/>
  </r>
  <r>
    <s v="Tr_135"/>
    <d v="2019-08-17T00:00:00"/>
    <x v="2"/>
    <n v="368"/>
    <m/>
    <m/>
    <x v="0"/>
    <m/>
    <n v="5171947"/>
    <s v="OK"/>
    <x v="4"/>
    <x v="0"/>
  </r>
  <r>
    <s v="Tr_136"/>
    <d v="2019-08-18T00:00:00"/>
    <x v="2"/>
    <n v="369"/>
    <m/>
    <m/>
    <x v="0"/>
    <m/>
    <n v="5171947"/>
    <s v="OK"/>
    <x v="4"/>
    <x v="0"/>
  </r>
  <r>
    <s v="Tr_137"/>
    <d v="2019-08-19T00:00:00"/>
    <x v="2"/>
    <n v="370"/>
    <m/>
    <m/>
    <x v="0"/>
    <m/>
    <n v="5171947"/>
    <s v="OK"/>
    <x v="4"/>
    <x v="0"/>
  </r>
  <r>
    <s v="Tr_138"/>
    <d v="2019-08-20T00:00:00"/>
    <x v="2"/>
    <n v="371"/>
    <m/>
    <m/>
    <x v="0"/>
    <m/>
    <n v="5171947"/>
    <s v="OK"/>
    <x v="4"/>
    <x v="0"/>
  </r>
  <r>
    <s v="Tr_139"/>
    <d v="2019-08-21T00:00:00"/>
    <x v="2"/>
    <n v="372"/>
    <m/>
    <m/>
    <x v="0"/>
    <m/>
    <n v="5171947"/>
    <s v="OK"/>
    <x v="4"/>
    <x v="0"/>
  </r>
  <r>
    <s v="Tr_140"/>
    <d v="2019-08-22T00:00:00"/>
    <x v="2"/>
    <n v="373"/>
    <m/>
    <m/>
    <x v="0"/>
    <m/>
    <n v="5171947"/>
    <s v="OK"/>
    <x v="4"/>
    <x v="0"/>
  </r>
  <r>
    <s v="Tr_141"/>
    <d v="2019-08-23T00:00:00"/>
    <x v="2"/>
    <n v="374"/>
    <m/>
    <m/>
    <x v="0"/>
    <m/>
    <n v="5171947"/>
    <s v="OK"/>
    <x v="4"/>
    <x v="0"/>
  </r>
  <r>
    <s v="Tr_142"/>
    <d v="2019-08-24T00:00:00"/>
    <x v="2"/>
    <n v="375"/>
    <m/>
    <m/>
    <x v="0"/>
    <m/>
    <n v="5171947"/>
    <s v="OK"/>
    <x v="4"/>
    <x v="0"/>
  </r>
  <r>
    <s v="Tr_143"/>
    <d v="2019-08-25T00:00:00"/>
    <x v="2"/>
    <n v="376"/>
    <m/>
    <m/>
    <x v="0"/>
    <m/>
    <n v="5171947"/>
    <s v="OK"/>
    <x v="4"/>
    <x v="0"/>
  </r>
  <r>
    <s v="Tr_144"/>
    <d v="2019-08-26T00:00:00"/>
    <x v="2"/>
    <n v="377"/>
    <m/>
    <m/>
    <x v="0"/>
    <m/>
    <n v="5171947"/>
    <s v="OK"/>
    <x v="4"/>
    <x v="0"/>
  </r>
  <r>
    <s v="Tr_145"/>
    <d v="2019-08-27T00:00:00"/>
    <x v="2"/>
    <n v="378"/>
    <m/>
    <m/>
    <x v="0"/>
    <m/>
    <n v="5171947"/>
    <s v="OK"/>
    <x v="4"/>
    <x v="0"/>
  </r>
  <r>
    <s v="Tr_146"/>
    <d v="2019-08-28T00:00:00"/>
    <x v="2"/>
    <n v="379"/>
    <m/>
    <m/>
    <x v="0"/>
    <m/>
    <n v="5171947"/>
    <s v="OK"/>
    <x v="4"/>
    <x v="0"/>
  </r>
  <r>
    <s v="Tr_147"/>
    <d v="2019-08-29T00:00:00"/>
    <x v="2"/>
    <n v="380"/>
    <m/>
    <m/>
    <x v="0"/>
    <m/>
    <n v="5171947"/>
    <s v="OK"/>
    <x v="4"/>
    <x v="0"/>
  </r>
  <r>
    <s v="Tr_148"/>
    <d v="2019-08-30T00:00:00"/>
    <x v="2"/>
    <n v="381"/>
    <m/>
    <m/>
    <x v="0"/>
    <m/>
    <n v="5171947"/>
    <s v="OK"/>
    <x v="4"/>
    <x v="0"/>
  </r>
  <r>
    <s v="Tr_149"/>
    <d v="2019-08-31T00:00:00"/>
    <x v="2"/>
    <n v="382"/>
    <m/>
    <m/>
    <x v="0"/>
    <m/>
    <n v="5171947"/>
    <s v="OK"/>
    <x v="4"/>
    <x v="0"/>
  </r>
  <r>
    <s v="Tr_150"/>
    <d v="2019-09-01T00:00:00"/>
    <x v="2"/>
    <n v="383"/>
    <m/>
    <m/>
    <x v="0"/>
    <m/>
    <n v="5171947"/>
    <s v="OK"/>
    <x v="5"/>
    <x v="0"/>
  </r>
  <r>
    <s v="Tr_151"/>
    <d v="2019-09-02T00:00:00"/>
    <x v="2"/>
    <n v="384"/>
    <m/>
    <m/>
    <x v="0"/>
    <m/>
    <n v="5171947"/>
    <s v="OK"/>
    <x v="5"/>
    <x v="0"/>
  </r>
  <r>
    <s v="Tr_152"/>
    <d v="2019-09-03T00:00:00"/>
    <x v="2"/>
    <n v="385"/>
    <m/>
    <m/>
    <x v="0"/>
    <m/>
    <n v="5171947"/>
    <s v="OK"/>
    <x v="5"/>
    <x v="0"/>
  </r>
  <r>
    <s v="Tr_153"/>
    <d v="2019-09-04T00:00:00"/>
    <x v="2"/>
    <n v="386"/>
    <m/>
    <m/>
    <x v="0"/>
    <m/>
    <n v="5171947"/>
    <s v="OK"/>
    <x v="5"/>
    <x v="0"/>
  </r>
  <r>
    <s v="Tr_154"/>
    <d v="2019-09-05T00:00:00"/>
    <x v="2"/>
    <n v="387"/>
    <m/>
    <m/>
    <x v="0"/>
    <m/>
    <n v="5171947"/>
    <s v="OK"/>
    <x v="5"/>
    <x v="0"/>
  </r>
  <r>
    <s v="Tr_155"/>
    <d v="2019-09-06T00:00:00"/>
    <x v="2"/>
    <n v="388"/>
    <m/>
    <m/>
    <x v="0"/>
    <m/>
    <n v="5171947"/>
    <s v="OK"/>
    <x v="5"/>
    <x v="0"/>
  </r>
  <r>
    <s v="Tr_156"/>
    <d v="2019-09-07T00:00:00"/>
    <x v="2"/>
    <n v="389"/>
    <m/>
    <m/>
    <x v="0"/>
    <m/>
    <n v="5171947"/>
    <s v="OK"/>
    <x v="5"/>
    <x v="0"/>
  </r>
  <r>
    <s v="Tr_157"/>
    <d v="2019-09-08T00:00:00"/>
    <x v="2"/>
    <n v="390"/>
    <m/>
    <m/>
    <x v="0"/>
    <m/>
    <n v="5171947"/>
    <s v="OK"/>
    <x v="5"/>
    <x v="0"/>
  </r>
  <r>
    <s v="Tr_158"/>
    <d v="2019-09-09T00:00:00"/>
    <x v="2"/>
    <n v="391"/>
    <m/>
    <m/>
    <x v="0"/>
    <m/>
    <n v="5171947"/>
    <s v="OK"/>
    <x v="5"/>
    <x v="0"/>
  </r>
  <r>
    <s v="Tr_159"/>
    <d v="2019-09-10T00:00:00"/>
    <x v="2"/>
    <n v="392"/>
    <m/>
    <m/>
    <x v="0"/>
    <m/>
    <n v="5171947"/>
    <s v="OK"/>
    <x v="5"/>
    <x v="0"/>
  </r>
  <r>
    <s v="Tr_160"/>
    <d v="2019-09-11T00:00:00"/>
    <x v="2"/>
    <n v="393"/>
    <m/>
    <m/>
    <x v="0"/>
    <m/>
    <n v="5171947"/>
    <s v="OK"/>
    <x v="5"/>
    <x v="0"/>
  </r>
  <r>
    <s v="Tr_161"/>
    <d v="2019-09-12T00:00:00"/>
    <x v="2"/>
    <n v="394"/>
    <m/>
    <m/>
    <x v="0"/>
    <m/>
    <n v="5171947"/>
    <s v="OK"/>
    <x v="5"/>
    <x v="0"/>
  </r>
  <r>
    <s v="Tr_162"/>
    <d v="2019-09-13T00:00:00"/>
    <x v="2"/>
    <n v="395"/>
    <m/>
    <m/>
    <x v="0"/>
    <m/>
    <n v="5171947"/>
    <s v="OK"/>
    <x v="5"/>
    <x v="0"/>
  </r>
  <r>
    <s v="Tr_163"/>
    <d v="2019-09-14T00:00:00"/>
    <x v="2"/>
    <n v="396"/>
    <m/>
    <m/>
    <x v="0"/>
    <m/>
    <n v="5171947"/>
    <s v="OK"/>
    <x v="5"/>
    <x v="0"/>
  </r>
  <r>
    <s v="Tr_164"/>
    <d v="2019-09-15T00:00:00"/>
    <x v="2"/>
    <n v="397"/>
    <m/>
    <m/>
    <x v="0"/>
    <m/>
    <n v="5171947"/>
    <s v="OK"/>
    <x v="5"/>
    <x v="0"/>
  </r>
  <r>
    <s v="Tr_165"/>
    <d v="2019-09-16T00:00:00"/>
    <x v="2"/>
    <n v="398"/>
    <m/>
    <m/>
    <x v="0"/>
    <m/>
    <n v="5171947"/>
    <s v="OK"/>
    <x v="5"/>
    <x v="0"/>
  </r>
  <r>
    <s v="Tr_166"/>
    <d v="2019-09-17T00:00:00"/>
    <x v="2"/>
    <n v="399"/>
    <m/>
    <m/>
    <x v="0"/>
    <m/>
    <n v="5171947"/>
    <s v="OK"/>
    <x v="5"/>
    <x v="0"/>
  </r>
  <r>
    <s v="Tr_167"/>
    <d v="2019-09-18T00:00:00"/>
    <x v="2"/>
    <n v="400"/>
    <m/>
    <m/>
    <x v="0"/>
    <m/>
    <n v="5171947"/>
    <s v="OK"/>
    <x v="5"/>
    <x v="0"/>
  </r>
  <r>
    <s v="Tr_168"/>
    <d v="2019-09-19T00:00:00"/>
    <x v="2"/>
    <n v="401"/>
    <m/>
    <m/>
    <x v="0"/>
    <m/>
    <n v="5171947"/>
    <s v="OK"/>
    <x v="5"/>
    <x v="0"/>
  </r>
  <r>
    <s v="Tr_169"/>
    <d v="2019-09-20T00:00:00"/>
    <x v="2"/>
    <n v="402"/>
    <m/>
    <m/>
    <x v="0"/>
    <m/>
    <n v="5171947"/>
    <s v="OK"/>
    <x v="5"/>
    <x v="0"/>
  </r>
  <r>
    <s v="Tr_170"/>
    <d v="2019-09-21T00:00:00"/>
    <x v="2"/>
    <n v="403"/>
    <m/>
    <m/>
    <x v="0"/>
    <m/>
    <n v="5171947"/>
    <s v="OK"/>
    <x v="5"/>
    <x v="0"/>
  </r>
  <r>
    <s v="Tr_171"/>
    <d v="2019-09-22T00:00:00"/>
    <x v="2"/>
    <n v="404"/>
    <m/>
    <m/>
    <x v="0"/>
    <m/>
    <n v="5171947"/>
    <s v="OK"/>
    <x v="5"/>
    <x v="0"/>
  </r>
  <r>
    <s v="Tr_172"/>
    <d v="2019-09-23T00:00:00"/>
    <x v="2"/>
    <n v="405"/>
    <m/>
    <m/>
    <x v="0"/>
    <m/>
    <n v="5171947"/>
    <s v="OK"/>
    <x v="5"/>
    <x v="0"/>
  </r>
  <r>
    <s v="Tr_173"/>
    <d v="2019-09-24T00:00:00"/>
    <x v="2"/>
    <n v="406"/>
    <m/>
    <m/>
    <x v="0"/>
    <m/>
    <n v="5171947"/>
    <s v="OK"/>
    <x v="5"/>
    <x v="0"/>
  </r>
  <r>
    <s v="Tr_174"/>
    <d v="2019-09-25T00:00:00"/>
    <x v="2"/>
    <n v="407"/>
    <m/>
    <m/>
    <x v="0"/>
    <m/>
    <n v="5171947"/>
    <s v="OK"/>
    <x v="5"/>
    <x v="0"/>
  </r>
  <r>
    <s v="Tr_175"/>
    <d v="2019-09-26T00:00:00"/>
    <x v="2"/>
    <n v="408"/>
    <m/>
    <m/>
    <x v="0"/>
    <m/>
    <n v="5171947"/>
    <s v="OK"/>
    <x v="5"/>
    <x v="0"/>
  </r>
  <r>
    <s v="Tr_176"/>
    <d v="2019-09-27T00:00:00"/>
    <x v="2"/>
    <n v="409"/>
    <m/>
    <m/>
    <x v="0"/>
    <m/>
    <n v="5171947"/>
    <s v="OK"/>
    <x v="5"/>
    <x v="0"/>
  </r>
  <r>
    <s v="Tr_177"/>
    <d v="2019-09-28T00:00:00"/>
    <x v="2"/>
    <n v="410"/>
    <m/>
    <m/>
    <x v="0"/>
    <m/>
    <n v="5171947"/>
    <s v="OK"/>
    <x v="5"/>
    <x v="0"/>
  </r>
  <r>
    <s v="Tr_178"/>
    <d v="2019-09-29T00:00:00"/>
    <x v="2"/>
    <n v="411"/>
    <m/>
    <m/>
    <x v="0"/>
    <m/>
    <n v="5171947"/>
    <s v="OK"/>
    <x v="5"/>
    <x v="0"/>
  </r>
  <r>
    <s v="Tr_179"/>
    <d v="2019-09-30T00:00:00"/>
    <x v="2"/>
    <n v="412"/>
    <m/>
    <m/>
    <x v="0"/>
    <m/>
    <n v="5171947"/>
    <s v="OK"/>
    <x v="5"/>
    <x v="0"/>
  </r>
  <r>
    <s v="Tr_180"/>
    <d v="2019-10-01T00:00:00"/>
    <x v="2"/>
    <n v="413"/>
    <m/>
    <m/>
    <x v="0"/>
    <m/>
    <n v="5171947"/>
    <s v="OK"/>
    <x v="6"/>
    <x v="0"/>
  </r>
  <r>
    <s v="Tr_181"/>
    <d v="2019-10-02T00:00:00"/>
    <x v="2"/>
    <n v="414"/>
    <m/>
    <m/>
    <x v="0"/>
    <m/>
    <n v="5171947"/>
    <s v="OK"/>
    <x v="6"/>
    <x v="0"/>
  </r>
  <r>
    <s v="Tr_182"/>
    <d v="2019-10-03T00:00:00"/>
    <x v="2"/>
    <n v="415"/>
    <m/>
    <m/>
    <x v="0"/>
    <m/>
    <n v="5171947"/>
    <s v="OK"/>
    <x v="6"/>
    <x v="0"/>
  </r>
  <r>
    <s v="Tr_183"/>
    <d v="2019-10-04T00:00:00"/>
    <x v="2"/>
    <n v="416"/>
    <m/>
    <m/>
    <x v="0"/>
    <m/>
    <n v="5171947"/>
    <s v="OK"/>
    <x v="6"/>
    <x v="0"/>
  </r>
  <r>
    <s v="Tr_184"/>
    <d v="2019-10-05T00:00:00"/>
    <x v="2"/>
    <n v="417"/>
    <m/>
    <m/>
    <x v="0"/>
    <m/>
    <n v="5171947"/>
    <s v="OK"/>
    <x v="6"/>
    <x v="0"/>
  </r>
  <r>
    <s v="Tr_185"/>
    <d v="2019-10-06T00:00:00"/>
    <x v="2"/>
    <n v="418"/>
    <m/>
    <m/>
    <x v="0"/>
    <m/>
    <n v="5171947"/>
    <s v="OK"/>
    <x v="6"/>
    <x v="0"/>
  </r>
  <r>
    <s v="Tr_186"/>
    <d v="2019-10-07T00:00:00"/>
    <x v="2"/>
    <n v="419"/>
    <m/>
    <m/>
    <x v="0"/>
    <m/>
    <n v="5171947"/>
    <s v="OK"/>
    <x v="6"/>
    <x v="0"/>
  </r>
  <r>
    <s v="Tr_187"/>
    <d v="2019-10-08T00:00:00"/>
    <x v="2"/>
    <n v="420"/>
    <m/>
    <m/>
    <x v="0"/>
    <m/>
    <n v="5171947"/>
    <s v="OK"/>
    <x v="6"/>
    <x v="0"/>
  </r>
  <r>
    <s v="Tr_188"/>
    <d v="2019-10-09T00:00:00"/>
    <x v="2"/>
    <n v="421"/>
    <m/>
    <m/>
    <x v="0"/>
    <m/>
    <n v="5171947"/>
    <s v="OK"/>
    <x v="6"/>
    <x v="0"/>
  </r>
  <r>
    <s v="Tr_189"/>
    <d v="2019-10-10T00:00:00"/>
    <x v="2"/>
    <n v="422"/>
    <m/>
    <m/>
    <x v="0"/>
    <m/>
    <n v="5171947"/>
    <s v="OK"/>
    <x v="6"/>
    <x v="0"/>
  </r>
  <r>
    <s v="Tr_190"/>
    <d v="2019-10-11T00:00:00"/>
    <x v="2"/>
    <n v="423"/>
    <m/>
    <m/>
    <x v="0"/>
    <m/>
    <n v="5171947"/>
    <s v="OK"/>
    <x v="6"/>
    <x v="0"/>
  </r>
  <r>
    <s v="Tr_191"/>
    <d v="2019-10-12T00:00:00"/>
    <x v="2"/>
    <n v="424"/>
    <m/>
    <m/>
    <x v="0"/>
    <m/>
    <n v="5171947"/>
    <s v="OK"/>
    <x v="6"/>
    <x v="0"/>
  </r>
  <r>
    <s v="Tr_192"/>
    <d v="2019-10-13T00:00:00"/>
    <x v="2"/>
    <n v="425"/>
    <m/>
    <m/>
    <x v="0"/>
    <m/>
    <n v="5171947"/>
    <s v="OK"/>
    <x v="6"/>
    <x v="0"/>
  </r>
  <r>
    <s v="Tr_193"/>
    <d v="2019-10-14T00:00:00"/>
    <x v="2"/>
    <n v="426"/>
    <m/>
    <m/>
    <x v="0"/>
    <m/>
    <n v="5171947"/>
    <s v="OK"/>
    <x v="6"/>
    <x v="0"/>
  </r>
  <r>
    <s v="Tr_194"/>
    <d v="2019-10-15T00:00:00"/>
    <x v="2"/>
    <n v="427"/>
    <m/>
    <m/>
    <x v="0"/>
    <m/>
    <n v="5171947"/>
    <s v="OK"/>
    <x v="6"/>
    <x v="0"/>
  </r>
  <r>
    <s v="Tr_195"/>
    <d v="2019-10-16T00:00:00"/>
    <x v="2"/>
    <n v="428"/>
    <m/>
    <m/>
    <x v="0"/>
    <m/>
    <n v="5171947"/>
    <s v="OK"/>
    <x v="6"/>
    <x v="0"/>
  </r>
  <r>
    <s v="Tr_196"/>
    <d v="2019-10-17T00:00:00"/>
    <x v="2"/>
    <n v="429"/>
    <m/>
    <m/>
    <x v="0"/>
    <m/>
    <n v="5171947"/>
    <s v="OK"/>
    <x v="6"/>
    <x v="0"/>
  </r>
  <r>
    <s v="Tr_197"/>
    <d v="2019-10-18T00:00:00"/>
    <x v="2"/>
    <n v="430"/>
    <m/>
    <m/>
    <x v="0"/>
    <m/>
    <n v="5171947"/>
    <s v="OK"/>
    <x v="6"/>
    <x v="0"/>
  </r>
  <r>
    <s v="Tr_198"/>
    <d v="2019-10-19T00:00:00"/>
    <x v="2"/>
    <n v="431"/>
    <m/>
    <m/>
    <x v="0"/>
    <m/>
    <n v="5171947"/>
    <s v="OK"/>
    <x v="6"/>
    <x v="0"/>
  </r>
  <r>
    <s v="Tr_199"/>
    <d v="2019-10-20T00:00:00"/>
    <x v="2"/>
    <n v="432"/>
    <m/>
    <m/>
    <x v="0"/>
    <m/>
    <n v="5171947"/>
    <s v="OK"/>
    <x v="6"/>
    <x v="0"/>
  </r>
  <r>
    <s v="Tr_200"/>
    <d v="2019-10-21T00:00:00"/>
    <x v="2"/>
    <n v="433"/>
    <m/>
    <m/>
    <x v="0"/>
    <m/>
    <n v="5171947"/>
    <s v="OK"/>
    <x v="6"/>
    <x v="0"/>
  </r>
  <r>
    <s v="Tr_201"/>
    <d v="2019-10-22T00:00:00"/>
    <x v="2"/>
    <n v="434"/>
    <m/>
    <m/>
    <x v="0"/>
    <m/>
    <n v="5171947"/>
    <s v="OK"/>
    <x v="6"/>
    <x v="0"/>
  </r>
  <r>
    <s v="Tr_202"/>
    <d v="2019-10-23T00:00:00"/>
    <x v="2"/>
    <n v="435"/>
    <m/>
    <m/>
    <x v="0"/>
    <m/>
    <n v="5171947"/>
    <s v="OK"/>
    <x v="6"/>
    <x v="0"/>
  </r>
  <r>
    <s v="Tr_203"/>
    <d v="2019-10-24T00:00:00"/>
    <x v="2"/>
    <n v="436"/>
    <m/>
    <m/>
    <x v="0"/>
    <m/>
    <n v="5171947"/>
    <s v="OK"/>
    <x v="6"/>
    <x v="0"/>
  </r>
  <r>
    <s v="Tr_204"/>
    <d v="2019-10-25T00:00:00"/>
    <x v="2"/>
    <n v="437"/>
    <m/>
    <m/>
    <x v="0"/>
    <m/>
    <n v="5171947"/>
    <s v="OK"/>
    <x v="6"/>
    <x v="0"/>
  </r>
  <r>
    <s v="Tr_205"/>
    <d v="2019-10-26T00:00:00"/>
    <x v="2"/>
    <n v="438"/>
    <m/>
    <m/>
    <x v="0"/>
    <m/>
    <n v="5171947"/>
    <s v="OK"/>
    <x v="6"/>
    <x v="0"/>
  </r>
  <r>
    <s v="Tr_206"/>
    <d v="2019-10-27T00:00:00"/>
    <x v="2"/>
    <n v="439"/>
    <m/>
    <m/>
    <x v="0"/>
    <m/>
    <n v="5171947"/>
    <s v="OK"/>
    <x v="6"/>
    <x v="0"/>
  </r>
  <r>
    <s v="Tr_207"/>
    <d v="2019-10-28T00:00:00"/>
    <x v="2"/>
    <n v="440"/>
    <m/>
    <m/>
    <x v="0"/>
    <m/>
    <n v="5171947"/>
    <s v="OK"/>
    <x v="6"/>
    <x v="0"/>
  </r>
  <r>
    <s v="Tr_208"/>
    <d v="2019-10-29T00:00:00"/>
    <x v="2"/>
    <n v="441"/>
    <m/>
    <m/>
    <x v="0"/>
    <m/>
    <n v="5171947"/>
    <s v="OK"/>
    <x v="6"/>
    <x v="0"/>
  </r>
  <r>
    <s v="Tr_209"/>
    <d v="2019-10-30T00:00:00"/>
    <x v="2"/>
    <n v="442"/>
    <m/>
    <m/>
    <x v="0"/>
    <m/>
    <n v="5171947"/>
    <s v="OK"/>
    <x v="6"/>
    <x v="0"/>
  </r>
  <r>
    <s v="Tr_210"/>
    <d v="2019-10-31T00:00:00"/>
    <x v="2"/>
    <n v="443"/>
    <m/>
    <m/>
    <x v="0"/>
    <m/>
    <n v="5171947"/>
    <s v="OK"/>
    <x v="6"/>
    <x v="0"/>
  </r>
  <r>
    <s v="Tr_211"/>
    <d v="2019-11-01T00:00:00"/>
    <x v="2"/>
    <n v="444"/>
    <m/>
    <m/>
    <x v="0"/>
    <m/>
    <n v="5171947"/>
    <s v="OK"/>
    <x v="7"/>
    <x v="0"/>
  </r>
  <r>
    <s v="Tr_212"/>
    <d v="2019-11-02T00:00:00"/>
    <x v="2"/>
    <n v="445"/>
    <m/>
    <m/>
    <x v="0"/>
    <m/>
    <n v="5171947"/>
    <s v="OK"/>
    <x v="7"/>
    <x v="0"/>
  </r>
  <r>
    <s v="Tr_213"/>
    <d v="2019-11-03T00:00:00"/>
    <x v="2"/>
    <n v="446"/>
    <m/>
    <m/>
    <x v="0"/>
    <m/>
    <n v="5171947"/>
    <s v="OK"/>
    <x v="7"/>
    <x v="0"/>
  </r>
  <r>
    <s v="Tr_214"/>
    <d v="2019-11-04T00:00:00"/>
    <x v="2"/>
    <n v="447"/>
    <m/>
    <m/>
    <x v="0"/>
    <m/>
    <n v="5171947"/>
    <s v="OK"/>
    <x v="7"/>
    <x v="0"/>
  </r>
  <r>
    <s v="Tr_215"/>
    <d v="2019-11-05T00:00:00"/>
    <x v="2"/>
    <n v="448"/>
    <m/>
    <m/>
    <x v="0"/>
    <m/>
    <n v="5171947"/>
    <s v="OK"/>
    <x v="7"/>
    <x v="0"/>
  </r>
  <r>
    <s v="Tr_216"/>
    <d v="2019-11-06T00:00:00"/>
    <x v="2"/>
    <n v="449"/>
    <m/>
    <m/>
    <x v="0"/>
    <m/>
    <n v="5171947"/>
    <s v="OK"/>
    <x v="7"/>
    <x v="0"/>
  </r>
  <r>
    <s v="Tr_217"/>
    <d v="2019-11-07T00:00:00"/>
    <x v="2"/>
    <n v="450"/>
    <m/>
    <m/>
    <x v="0"/>
    <m/>
    <n v="5171947"/>
    <s v="OK"/>
    <x v="7"/>
    <x v="0"/>
  </r>
  <r>
    <s v="Tr_218"/>
    <d v="2019-11-08T00:00:00"/>
    <x v="2"/>
    <n v="451"/>
    <m/>
    <m/>
    <x v="0"/>
    <m/>
    <n v="5171947"/>
    <s v="OK"/>
    <x v="7"/>
    <x v="0"/>
  </r>
  <r>
    <s v="Tr_219"/>
    <d v="2019-11-09T00:00:00"/>
    <x v="2"/>
    <n v="452"/>
    <m/>
    <m/>
    <x v="0"/>
    <m/>
    <n v="5171947"/>
    <s v="OK"/>
    <x v="7"/>
    <x v="0"/>
  </r>
  <r>
    <s v="Tr_220"/>
    <d v="2019-11-10T00:00:00"/>
    <x v="2"/>
    <n v="453"/>
    <m/>
    <m/>
    <x v="0"/>
    <m/>
    <n v="5171947"/>
    <s v="OK"/>
    <x v="7"/>
    <x v="0"/>
  </r>
  <r>
    <s v="Tr_221"/>
    <d v="2019-11-11T00:00:00"/>
    <x v="2"/>
    <n v="454"/>
    <m/>
    <m/>
    <x v="0"/>
    <m/>
    <n v="5171947"/>
    <s v="OK"/>
    <x v="7"/>
    <x v="0"/>
  </r>
  <r>
    <s v="Tr_222"/>
    <d v="2019-11-12T00:00:00"/>
    <x v="2"/>
    <n v="455"/>
    <m/>
    <m/>
    <x v="0"/>
    <m/>
    <n v="5171947"/>
    <s v="OK"/>
    <x v="7"/>
    <x v="0"/>
  </r>
  <r>
    <s v="Tr_223"/>
    <d v="2019-11-13T00:00:00"/>
    <x v="2"/>
    <n v="456"/>
    <m/>
    <m/>
    <x v="0"/>
    <m/>
    <n v="5171947"/>
    <s v="OK"/>
    <x v="7"/>
    <x v="0"/>
  </r>
  <r>
    <s v="Tr_224"/>
    <d v="2019-11-14T00:00:00"/>
    <x v="2"/>
    <n v="457"/>
    <m/>
    <m/>
    <x v="0"/>
    <m/>
    <n v="5171947"/>
    <s v="OK"/>
    <x v="7"/>
    <x v="0"/>
  </r>
  <r>
    <s v="Tr_225"/>
    <d v="2019-11-15T00:00:00"/>
    <x v="2"/>
    <n v="458"/>
    <m/>
    <m/>
    <x v="0"/>
    <m/>
    <n v="5171947"/>
    <s v="OK"/>
    <x v="7"/>
    <x v="0"/>
  </r>
  <r>
    <s v="Tr_226"/>
    <d v="2019-11-16T00:00:00"/>
    <x v="2"/>
    <n v="459"/>
    <m/>
    <m/>
    <x v="0"/>
    <m/>
    <n v="5171947"/>
    <s v="OK"/>
    <x v="7"/>
    <x v="0"/>
  </r>
  <r>
    <s v="Tr_227"/>
    <d v="2019-11-17T00:00:00"/>
    <x v="2"/>
    <n v="460"/>
    <m/>
    <m/>
    <x v="0"/>
    <m/>
    <n v="5171947"/>
    <s v="OK"/>
    <x v="7"/>
    <x v="0"/>
  </r>
  <r>
    <s v="Tr_228"/>
    <d v="2019-11-18T00:00:00"/>
    <x v="2"/>
    <n v="461"/>
    <m/>
    <m/>
    <x v="0"/>
    <m/>
    <n v="5171947"/>
    <s v="OK"/>
    <x v="7"/>
    <x v="0"/>
  </r>
  <r>
    <s v="Tr_229"/>
    <d v="2019-11-19T00:00:00"/>
    <x v="2"/>
    <n v="462"/>
    <m/>
    <m/>
    <x v="0"/>
    <m/>
    <n v="5171947"/>
    <s v="OK"/>
    <x v="7"/>
    <x v="0"/>
  </r>
  <r>
    <s v="Tr_230"/>
    <d v="2019-11-20T00:00:00"/>
    <x v="2"/>
    <n v="463"/>
    <m/>
    <m/>
    <x v="0"/>
    <m/>
    <n v="5171947"/>
    <s v="OK"/>
    <x v="7"/>
    <x v="0"/>
  </r>
  <r>
    <s v="Tr_231"/>
    <d v="2019-11-21T00:00:00"/>
    <x v="2"/>
    <n v="464"/>
    <m/>
    <m/>
    <x v="0"/>
    <m/>
    <n v="5171947"/>
    <s v="OK"/>
    <x v="7"/>
    <x v="0"/>
  </r>
  <r>
    <s v="Tr_232"/>
    <d v="2019-11-22T00:00:00"/>
    <x v="2"/>
    <n v="465"/>
    <m/>
    <m/>
    <x v="0"/>
    <m/>
    <n v="5171947"/>
    <s v="OK"/>
    <x v="7"/>
    <x v="0"/>
  </r>
  <r>
    <s v="Tr_233"/>
    <d v="2019-11-23T00:00:00"/>
    <x v="2"/>
    <n v="466"/>
    <m/>
    <m/>
    <x v="0"/>
    <m/>
    <n v="5171947"/>
    <s v="OK"/>
    <x v="7"/>
    <x v="0"/>
  </r>
  <r>
    <s v="Tr_234"/>
    <d v="2019-11-24T00:00:00"/>
    <x v="2"/>
    <n v="467"/>
    <m/>
    <m/>
    <x v="0"/>
    <m/>
    <n v="5171947"/>
    <s v="OK"/>
    <x v="7"/>
    <x v="0"/>
  </r>
  <r>
    <s v="Tr_235"/>
    <d v="2019-11-25T00:00:00"/>
    <x v="2"/>
    <n v="468"/>
    <m/>
    <m/>
    <x v="0"/>
    <m/>
    <n v="5171947"/>
    <s v="OK"/>
    <x v="7"/>
    <x v="0"/>
  </r>
  <r>
    <s v="Tr_236"/>
    <d v="2019-11-26T00:00:00"/>
    <x v="2"/>
    <n v="469"/>
    <m/>
    <m/>
    <x v="0"/>
    <m/>
    <n v="5171947"/>
    <s v="OK"/>
    <x v="7"/>
    <x v="0"/>
  </r>
  <r>
    <s v="Tr_237"/>
    <d v="2019-11-27T00:00:00"/>
    <x v="2"/>
    <n v="470"/>
    <m/>
    <m/>
    <x v="0"/>
    <m/>
    <n v="5171947"/>
    <s v="OK"/>
    <x v="7"/>
    <x v="0"/>
  </r>
  <r>
    <s v="Tr_238"/>
    <d v="2019-11-28T00:00:00"/>
    <x v="2"/>
    <n v="471"/>
    <m/>
    <m/>
    <x v="0"/>
    <m/>
    <n v="5171947"/>
    <s v="OK"/>
    <x v="7"/>
    <x v="0"/>
  </r>
  <r>
    <s v="Tr_239"/>
    <d v="2019-11-29T00:00:00"/>
    <x v="2"/>
    <n v="472"/>
    <m/>
    <m/>
    <x v="0"/>
    <m/>
    <n v="5171947"/>
    <s v="OK"/>
    <x v="7"/>
    <x v="0"/>
  </r>
  <r>
    <s v="Tr_240"/>
    <d v="2019-11-30T00:00:00"/>
    <x v="2"/>
    <n v="473"/>
    <m/>
    <m/>
    <x v="0"/>
    <m/>
    <n v="5171947"/>
    <s v="OK"/>
    <x v="7"/>
    <x v="0"/>
  </r>
  <r>
    <s v="Tr_241"/>
    <d v="2019-12-01T00:00:00"/>
    <x v="2"/>
    <n v="474"/>
    <m/>
    <m/>
    <x v="0"/>
    <m/>
    <n v="5171947"/>
    <s v="OK"/>
    <x v="8"/>
    <x v="0"/>
  </r>
  <r>
    <s v="Tr_242"/>
    <d v="2019-12-02T00:00:00"/>
    <x v="2"/>
    <n v="475"/>
    <m/>
    <m/>
    <x v="0"/>
    <m/>
    <n v="5171947"/>
    <s v="OK"/>
    <x v="8"/>
    <x v="0"/>
  </r>
  <r>
    <s v="Tr_243"/>
    <d v="2019-12-03T00:00:00"/>
    <x v="2"/>
    <n v="476"/>
    <m/>
    <m/>
    <x v="0"/>
    <m/>
    <n v="5171947"/>
    <s v="OK"/>
    <x v="8"/>
    <x v="0"/>
  </r>
  <r>
    <s v="Tr_244"/>
    <d v="2019-12-04T00:00:00"/>
    <x v="2"/>
    <n v="477"/>
    <m/>
    <m/>
    <x v="0"/>
    <m/>
    <n v="5171947"/>
    <s v="OK"/>
    <x v="8"/>
    <x v="0"/>
  </r>
  <r>
    <s v="Tr_245"/>
    <d v="2019-12-05T00:00:00"/>
    <x v="2"/>
    <n v="478"/>
    <m/>
    <m/>
    <x v="0"/>
    <m/>
    <n v="5171947"/>
    <s v="OK"/>
    <x v="8"/>
    <x v="0"/>
  </r>
  <r>
    <s v="Tr_246"/>
    <d v="2019-12-06T00:00:00"/>
    <x v="2"/>
    <n v="479"/>
    <m/>
    <m/>
    <x v="0"/>
    <m/>
    <n v="5171947"/>
    <s v="OK"/>
    <x v="8"/>
    <x v="0"/>
  </r>
  <r>
    <s v="Tr_247"/>
    <d v="2019-12-07T00:00:00"/>
    <x v="2"/>
    <n v="480"/>
    <m/>
    <m/>
    <x v="0"/>
    <m/>
    <n v="5171947"/>
    <s v="OK"/>
    <x v="8"/>
    <x v="0"/>
  </r>
  <r>
    <s v="Tr_248"/>
    <d v="2019-12-08T00:00:00"/>
    <x v="2"/>
    <n v="481"/>
    <m/>
    <m/>
    <x v="0"/>
    <m/>
    <n v="5171947"/>
    <s v="OK"/>
    <x v="8"/>
    <x v="0"/>
  </r>
  <r>
    <s v="Tr_249"/>
    <d v="2019-12-09T00:00:00"/>
    <x v="2"/>
    <n v="482"/>
    <m/>
    <m/>
    <x v="0"/>
    <m/>
    <n v="5171947"/>
    <s v="OK"/>
    <x v="8"/>
    <x v="0"/>
  </r>
  <r>
    <s v="Tr_250"/>
    <d v="2019-12-10T00:00:00"/>
    <x v="2"/>
    <n v="483"/>
    <m/>
    <m/>
    <x v="0"/>
    <m/>
    <n v="5171947"/>
    <s v="OK"/>
    <x v="8"/>
    <x v="0"/>
  </r>
  <r>
    <s v="Tr_251"/>
    <d v="2019-12-11T00:00:00"/>
    <x v="2"/>
    <n v="484"/>
    <m/>
    <m/>
    <x v="0"/>
    <m/>
    <n v="5171947"/>
    <s v="OK"/>
    <x v="8"/>
    <x v="0"/>
  </r>
  <r>
    <s v="Tr_252"/>
    <d v="2019-12-12T00:00:00"/>
    <x v="2"/>
    <n v="485"/>
    <m/>
    <m/>
    <x v="0"/>
    <m/>
    <n v="5171947"/>
    <s v="OK"/>
    <x v="8"/>
    <x v="0"/>
  </r>
  <r>
    <s v="Tr_253"/>
    <d v="2019-12-13T00:00:00"/>
    <x v="2"/>
    <n v="486"/>
    <m/>
    <m/>
    <x v="0"/>
    <m/>
    <n v="5171947"/>
    <s v="OK"/>
    <x v="8"/>
    <x v="0"/>
  </r>
  <r>
    <s v="Tr_254"/>
    <d v="2019-12-14T00:00:00"/>
    <x v="2"/>
    <n v="487"/>
    <m/>
    <m/>
    <x v="0"/>
    <m/>
    <n v="5171947"/>
    <s v="OK"/>
    <x v="8"/>
    <x v="0"/>
  </r>
  <r>
    <s v="Tr_255"/>
    <d v="2019-12-15T00:00:00"/>
    <x v="2"/>
    <n v="488"/>
    <m/>
    <m/>
    <x v="0"/>
    <m/>
    <n v="5171947"/>
    <s v="OK"/>
    <x v="8"/>
    <x v="0"/>
  </r>
  <r>
    <s v="Tr_256"/>
    <d v="2019-12-16T00:00:00"/>
    <x v="2"/>
    <n v="489"/>
    <m/>
    <m/>
    <x v="0"/>
    <m/>
    <n v="5171947"/>
    <s v="OK"/>
    <x v="8"/>
    <x v="0"/>
  </r>
  <r>
    <s v="Tr_257"/>
    <d v="2019-12-17T00:00:00"/>
    <x v="2"/>
    <n v="490"/>
    <m/>
    <m/>
    <x v="0"/>
    <m/>
    <n v="5171947"/>
    <s v="OK"/>
    <x v="8"/>
    <x v="0"/>
  </r>
  <r>
    <s v="Tr_258"/>
    <d v="2019-12-18T00:00:00"/>
    <x v="2"/>
    <n v="491"/>
    <m/>
    <m/>
    <x v="0"/>
    <m/>
    <n v="5171947"/>
    <s v="OK"/>
    <x v="8"/>
    <x v="0"/>
  </r>
  <r>
    <s v="Tr_259"/>
    <d v="2019-12-19T00:00:00"/>
    <x v="2"/>
    <n v="492"/>
    <m/>
    <m/>
    <x v="0"/>
    <m/>
    <n v="5171947"/>
    <s v="OK"/>
    <x v="8"/>
    <x v="0"/>
  </r>
  <r>
    <s v="Tr_260"/>
    <d v="2019-12-20T00:00:00"/>
    <x v="2"/>
    <n v="493"/>
    <m/>
    <m/>
    <x v="0"/>
    <m/>
    <n v="5171947"/>
    <s v="OK"/>
    <x v="8"/>
    <x v="0"/>
  </r>
  <r>
    <s v="Tr_261"/>
    <d v="2019-12-21T00:00:00"/>
    <x v="2"/>
    <n v="494"/>
    <m/>
    <m/>
    <x v="0"/>
    <m/>
    <n v="5171947"/>
    <s v="OK"/>
    <x v="8"/>
    <x v="0"/>
  </r>
  <r>
    <s v="Tr_262"/>
    <d v="2019-12-22T00:00:00"/>
    <x v="2"/>
    <n v="495"/>
    <m/>
    <m/>
    <x v="0"/>
    <m/>
    <n v="5171947"/>
    <s v="OK"/>
    <x v="8"/>
    <x v="0"/>
  </r>
  <r>
    <s v="Tr_263"/>
    <d v="2019-12-23T00:00:00"/>
    <x v="2"/>
    <n v="496"/>
    <m/>
    <m/>
    <x v="0"/>
    <m/>
    <n v="5171947"/>
    <s v="OK"/>
    <x v="8"/>
    <x v="0"/>
  </r>
  <r>
    <s v="Tr_264"/>
    <d v="2019-12-24T00:00:00"/>
    <x v="2"/>
    <n v="497"/>
    <m/>
    <m/>
    <x v="0"/>
    <m/>
    <n v="5171947"/>
    <s v="OK"/>
    <x v="8"/>
    <x v="0"/>
  </r>
  <r>
    <s v="Tr_265"/>
    <d v="2019-12-25T00:00:00"/>
    <x v="2"/>
    <n v="498"/>
    <m/>
    <m/>
    <x v="0"/>
    <m/>
    <n v="5171947"/>
    <s v="OK"/>
    <x v="8"/>
    <x v="0"/>
  </r>
  <r>
    <s v="Tr_266"/>
    <d v="2019-12-26T00:00:00"/>
    <x v="2"/>
    <n v="499"/>
    <m/>
    <m/>
    <x v="0"/>
    <m/>
    <n v="5171947"/>
    <s v="OK"/>
    <x v="8"/>
    <x v="0"/>
  </r>
  <r>
    <s v="Tr_267"/>
    <d v="2019-12-27T00:00:00"/>
    <x v="2"/>
    <n v="500"/>
    <m/>
    <m/>
    <x v="0"/>
    <m/>
    <n v="5171947"/>
    <s v="OK"/>
    <x v="8"/>
    <x v="0"/>
  </r>
  <r>
    <s v="Tr_268"/>
    <d v="2019-12-28T00:00:00"/>
    <x v="2"/>
    <n v="501"/>
    <m/>
    <m/>
    <x v="0"/>
    <m/>
    <n v="5171947"/>
    <s v="OK"/>
    <x v="8"/>
    <x v="0"/>
  </r>
  <r>
    <s v="Tr_269"/>
    <d v="2019-12-29T00:00:00"/>
    <x v="2"/>
    <n v="502"/>
    <m/>
    <m/>
    <x v="0"/>
    <m/>
    <n v="5171947"/>
    <s v="OK"/>
    <x v="8"/>
    <x v="0"/>
  </r>
  <r>
    <s v="Tr_270"/>
    <d v="2019-12-30T00:00:00"/>
    <x v="2"/>
    <n v="503"/>
    <m/>
    <m/>
    <x v="0"/>
    <m/>
    <n v="5171947"/>
    <s v="OK"/>
    <x v="8"/>
    <x v="0"/>
  </r>
  <r>
    <s v="Tr_271"/>
    <d v="2019-12-31T00:00:00"/>
    <x v="2"/>
    <n v="504"/>
    <m/>
    <m/>
    <x v="0"/>
    <m/>
    <n v="5171947"/>
    <s v="OK"/>
    <x v="8"/>
    <x v="0"/>
  </r>
  <r>
    <s v="Tr_272"/>
    <d v="2020-01-01T00:00:00"/>
    <x v="2"/>
    <n v="505"/>
    <m/>
    <m/>
    <x v="0"/>
    <m/>
    <n v="5171947"/>
    <s v="OK"/>
    <x v="9"/>
    <x v="1"/>
  </r>
  <r>
    <s v="Tr_273"/>
    <d v="2020-01-02T00:00:00"/>
    <x v="2"/>
    <n v="506"/>
    <m/>
    <m/>
    <x v="0"/>
    <m/>
    <n v="5171947"/>
    <s v="OK"/>
    <x v="9"/>
    <x v="1"/>
  </r>
  <r>
    <s v="Tr_274"/>
    <d v="2020-01-03T00:00:00"/>
    <x v="2"/>
    <n v="507"/>
    <m/>
    <m/>
    <x v="0"/>
    <m/>
    <n v="5171947"/>
    <s v="OK"/>
    <x v="9"/>
    <x v="1"/>
  </r>
  <r>
    <s v="Tr_275"/>
    <d v="2020-01-04T00:00:00"/>
    <x v="2"/>
    <n v="508"/>
    <m/>
    <m/>
    <x v="0"/>
    <m/>
    <n v="5171947"/>
    <s v="OK"/>
    <x v="9"/>
    <x v="1"/>
  </r>
  <r>
    <s v="Tr_276"/>
    <d v="2020-01-05T00:00:00"/>
    <x v="2"/>
    <n v="509"/>
    <m/>
    <m/>
    <x v="0"/>
    <m/>
    <n v="5171947"/>
    <s v="OK"/>
    <x v="9"/>
    <x v="1"/>
  </r>
  <r>
    <s v="Tr_277"/>
    <d v="2020-01-06T00:00:00"/>
    <x v="2"/>
    <n v="510"/>
    <m/>
    <m/>
    <x v="0"/>
    <m/>
    <n v="5171947"/>
    <s v="OK"/>
    <x v="9"/>
    <x v="1"/>
  </r>
  <r>
    <s v="Tr_278"/>
    <d v="2020-01-07T00:00:00"/>
    <x v="2"/>
    <n v="511"/>
    <m/>
    <m/>
    <x v="0"/>
    <m/>
    <n v="5171947"/>
    <s v="OK"/>
    <x v="9"/>
    <x v="1"/>
  </r>
  <r>
    <s v="Tr_279"/>
    <d v="2020-01-08T00:00:00"/>
    <x v="2"/>
    <n v="512"/>
    <m/>
    <m/>
    <x v="0"/>
    <m/>
    <n v="5171947"/>
    <s v="OK"/>
    <x v="9"/>
    <x v="1"/>
  </r>
  <r>
    <s v="Tr_280"/>
    <d v="2020-01-09T00:00:00"/>
    <x v="2"/>
    <n v="513"/>
    <m/>
    <m/>
    <x v="0"/>
    <m/>
    <n v="5171947"/>
    <s v="OK"/>
    <x v="9"/>
    <x v="1"/>
  </r>
  <r>
    <s v="Tr_281"/>
    <d v="2020-01-10T00:00:00"/>
    <x v="2"/>
    <n v="514"/>
    <m/>
    <m/>
    <x v="0"/>
    <m/>
    <n v="5171947"/>
    <s v="OK"/>
    <x v="9"/>
    <x v="1"/>
  </r>
  <r>
    <s v="Tr_282"/>
    <d v="2020-01-11T00:00:00"/>
    <x v="2"/>
    <n v="515"/>
    <m/>
    <m/>
    <x v="0"/>
    <m/>
    <n v="5171947"/>
    <s v="OK"/>
    <x v="9"/>
    <x v="1"/>
  </r>
  <r>
    <s v="Tr_283"/>
    <d v="2020-01-12T00:00:00"/>
    <x v="2"/>
    <n v="516"/>
    <m/>
    <m/>
    <x v="0"/>
    <m/>
    <n v="5171947"/>
    <s v="OK"/>
    <x v="9"/>
    <x v="1"/>
  </r>
  <r>
    <s v="Tr_284"/>
    <d v="2020-01-13T00:00:00"/>
    <x v="2"/>
    <n v="517"/>
    <m/>
    <m/>
    <x v="0"/>
    <m/>
    <n v="5171947"/>
    <s v="OK"/>
    <x v="9"/>
    <x v="1"/>
  </r>
  <r>
    <s v="Tr_285"/>
    <d v="2020-01-14T00:00:00"/>
    <x v="2"/>
    <n v="518"/>
    <m/>
    <m/>
    <x v="0"/>
    <m/>
    <n v="5171947"/>
    <s v="OK"/>
    <x v="9"/>
    <x v="1"/>
  </r>
  <r>
    <s v="Tr_286"/>
    <d v="2020-01-15T00:00:00"/>
    <x v="2"/>
    <n v="519"/>
    <m/>
    <m/>
    <x v="0"/>
    <m/>
    <n v="5171947"/>
    <s v="OK"/>
    <x v="9"/>
    <x v="1"/>
  </r>
  <r>
    <s v="Tr_287"/>
    <d v="2020-01-16T00:00:00"/>
    <x v="2"/>
    <n v="520"/>
    <m/>
    <m/>
    <x v="0"/>
    <m/>
    <n v="5171947"/>
    <s v="OK"/>
    <x v="9"/>
    <x v="1"/>
  </r>
  <r>
    <s v="Tr_288"/>
    <d v="2020-01-17T00:00:00"/>
    <x v="2"/>
    <n v="521"/>
    <m/>
    <m/>
    <x v="0"/>
    <m/>
    <n v="5171947"/>
    <s v="OK"/>
    <x v="9"/>
    <x v="1"/>
  </r>
  <r>
    <s v="Tr_289"/>
    <d v="2020-01-18T00:00:00"/>
    <x v="2"/>
    <n v="522"/>
    <m/>
    <m/>
    <x v="0"/>
    <m/>
    <n v="5171947"/>
    <s v="OK"/>
    <x v="9"/>
    <x v="1"/>
  </r>
  <r>
    <s v="Tr_290"/>
    <d v="2020-01-19T00:00:00"/>
    <x v="2"/>
    <n v="523"/>
    <m/>
    <m/>
    <x v="0"/>
    <m/>
    <n v="5171947"/>
    <s v="OK"/>
    <x v="9"/>
    <x v="1"/>
  </r>
  <r>
    <s v="Tr_291"/>
    <d v="2020-01-20T00:00:00"/>
    <x v="2"/>
    <n v="524"/>
    <m/>
    <m/>
    <x v="0"/>
    <m/>
    <n v="5171947"/>
    <s v="OK"/>
    <x v="9"/>
    <x v="1"/>
  </r>
  <r>
    <s v="Tr_292"/>
    <d v="2020-01-21T00:00:00"/>
    <x v="2"/>
    <n v="525"/>
    <m/>
    <m/>
    <x v="0"/>
    <m/>
    <n v="5171947"/>
    <s v="OK"/>
    <x v="9"/>
    <x v="1"/>
  </r>
  <r>
    <s v="Tr_293"/>
    <d v="2020-01-22T00:00:00"/>
    <x v="2"/>
    <n v="526"/>
    <m/>
    <m/>
    <x v="0"/>
    <m/>
    <n v="5171947"/>
    <s v="OK"/>
    <x v="9"/>
    <x v="1"/>
  </r>
  <r>
    <s v="Tr_294"/>
    <d v="2020-01-23T00:00:00"/>
    <x v="2"/>
    <n v="527"/>
    <m/>
    <m/>
    <x v="0"/>
    <m/>
    <n v="5171947"/>
    <s v="OK"/>
    <x v="9"/>
    <x v="1"/>
  </r>
  <r>
    <s v="Tr_295"/>
    <d v="2020-01-24T00:00:00"/>
    <x v="2"/>
    <n v="528"/>
    <m/>
    <m/>
    <x v="0"/>
    <m/>
    <n v="5171947"/>
    <s v="OK"/>
    <x v="9"/>
    <x v="1"/>
  </r>
  <r>
    <s v="Tr_296"/>
    <d v="2020-01-25T00:00:00"/>
    <x v="2"/>
    <n v="529"/>
    <m/>
    <m/>
    <x v="0"/>
    <m/>
    <n v="5171947"/>
    <s v="OK"/>
    <x v="9"/>
    <x v="1"/>
  </r>
  <r>
    <s v="Tr_297"/>
    <d v="2020-01-26T00:00:00"/>
    <x v="2"/>
    <n v="530"/>
    <m/>
    <m/>
    <x v="0"/>
    <m/>
    <n v="5171947"/>
    <s v="OK"/>
    <x v="9"/>
    <x v="1"/>
  </r>
  <r>
    <s v="Tr_298"/>
    <d v="2020-01-27T00:00:00"/>
    <x v="2"/>
    <n v="531"/>
    <m/>
    <m/>
    <x v="0"/>
    <m/>
    <n v="5171947"/>
    <s v="OK"/>
    <x v="9"/>
    <x v="1"/>
  </r>
  <r>
    <s v="Tr_299"/>
    <d v="2020-01-28T00:00:00"/>
    <x v="2"/>
    <n v="532"/>
    <m/>
    <m/>
    <x v="0"/>
    <m/>
    <n v="5171947"/>
    <s v="OK"/>
    <x v="9"/>
    <x v="1"/>
  </r>
  <r>
    <s v="Tr_300"/>
    <d v="2020-01-29T00:00:00"/>
    <x v="2"/>
    <n v="533"/>
    <m/>
    <m/>
    <x v="0"/>
    <m/>
    <n v="5171947"/>
    <s v="OK"/>
    <x v="9"/>
    <x v="1"/>
  </r>
  <r>
    <s v="Tr_301"/>
    <d v="2020-01-30T00:00:00"/>
    <x v="2"/>
    <n v="534"/>
    <m/>
    <m/>
    <x v="0"/>
    <m/>
    <n v="5171947"/>
    <s v="OK"/>
    <x v="9"/>
    <x v="1"/>
  </r>
  <r>
    <s v="Tr_302"/>
    <d v="2020-01-31T00:00:00"/>
    <x v="2"/>
    <n v="535"/>
    <m/>
    <m/>
    <x v="0"/>
    <m/>
    <n v="5171947"/>
    <s v="OK"/>
    <x v="9"/>
    <x v="1"/>
  </r>
  <r>
    <s v="Tr_303"/>
    <d v="2020-02-01T00:00:00"/>
    <x v="2"/>
    <n v="536"/>
    <m/>
    <m/>
    <x v="0"/>
    <m/>
    <n v="5171947"/>
    <s v="OK"/>
    <x v="10"/>
    <x v="1"/>
  </r>
  <r>
    <s v="Tr_304"/>
    <d v="2020-02-02T00:00:00"/>
    <x v="2"/>
    <n v="537"/>
    <m/>
    <m/>
    <x v="0"/>
    <m/>
    <n v="5171947"/>
    <s v="OK"/>
    <x v="10"/>
    <x v="1"/>
  </r>
  <r>
    <s v="Tr_305"/>
    <d v="2020-02-03T00:00:00"/>
    <x v="2"/>
    <n v="538"/>
    <m/>
    <m/>
    <x v="0"/>
    <m/>
    <n v="5171947"/>
    <s v="OK"/>
    <x v="10"/>
    <x v="1"/>
  </r>
  <r>
    <s v="Tr_306"/>
    <d v="2020-02-04T00:00:00"/>
    <x v="2"/>
    <n v="539"/>
    <m/>
    <m/>
    <x v="0"/>
    <m/>
    <n v="5171947"/>
    <s v="OK"/>
    <x v="10"/>
    <x v="1"/>
  </r>
  <r>
    <s v="Tr_307"/>
    <d v="2020-02-05T00:00:00"/>
    <x v="2"/>
    <n v="540"/>
    <m/>
    <m/>
    <x v="0"/>
    <m/>
    <n v="5171947"/>
    <s v="OK"/>
    <x v="10"/>
    <x v="1"/>
  </r>
  <r>
    <s v="Tr_308"/>
    <d v="2020-02-06T00:00:00"/>
    <x v="2"/>
    <n v="541"/>
    <m/>
    <m/>
    <x v="0"/>
    <m/>
    <n v="5171947"/>
    <s v="OK"/>
    <x v="10"/>
    <x v="1"/>
  </r>
  <r>
    <s v="Tr_309"/>
    <d v="2020-02-07T00:00:00"/>
    <x v="2"/>
    <n v="542"/>
    <m/>
    <m/>
    <x v="0"/>
    <m/>
    <n v="5171947"/>
    <s v="OK"/>
    <x v="10"/>
    <x v="1"/>
  </r>
  <r>
    <s v="Tr_310"/>
    <d v="2020-02-08T00:00:00"/>
    <x v="2"/>
    <n v="543"/>
    <m/>
    <m/>
    <x v="0"/>
    <m/>
    <n v="5171947"/>
    <s v="OK"/>
    <x v="10"/>
    <x v="1"/>
  </r>
  <r>
    <s v="Tr_311"/>
    <d v="2020-02-09T00:00:00"/>
    <x v="2"/>
    <n v="544"/>
    <m/>
    <m/>
    <x v="0"/>
    <m/>
    <n v="5171947"/>
    <s v="OK"/>
    <x v="10"/>
    <x v="1"/>
  </r>
  <r>
    <s v="Tr_312"/>
    <d v="2020-02-10T00:00:00"/>
    <x v="2"/>
    <n v="545"/>
    <m/>
    <m/>
    <x v="0"/>
    <m/>
    <n v="5171947"/>
    <s v="OK"/>
    <x v="10"/>
    <x v="1"/>
  </r>
  <r>
    <s v="Tr_313"/>
    <d v="2020-02-11T00:00:00"/>
    <x v="2"/>
    <n v="546"/>
    <m/>
    <m/>
    <x v="0"/>
    <m/>
    <n v="5171947"/>
    <s v="OK"/>
    <x v="10"/>
    <x v="1"/>
  </r>
  <r>
    <s v="Tr_314"/>
    <d v="2020-02-12T00:00:00"/>
    <x v="2"/>
    <n v="547"/>
    <m/>
    <m/>
    <x v="0"/>
    <m/>
    <n v="5171947"/>
    <s v="OK"/>
    <x v="10"/>
    <x v="1"/>
  </r>
  <r>
    <s v="Tr_315"/>
    <d v="2020-02-13T00:00:00"/>
    <x v="2"/>
    <n v="548"/>
    <m/>
    <m/>
    <x v="0"/>
    <m/>
    <n v="5171947"/>
    <s v="OK"/>
    <x v="10"/>
    <x v="1"/>
  </r>
  <r>
    <s v="Tr_316"/>
    <d v="2020-02-14T00:00:00"/>
    <x v="2"/>
    <n v="549"/>
    <m/>
    <m/>
    <x v="0"/>
    <m/>
    <n v="5171947"/>
    <s v="OK"/>
    <x v="10"/>
    <x v="1"/>
  </r>
  <r>
    <s v="Tr_317"/>
    <d v="2020-02-15T00:00:00"/>
    <x v="2"/>
    <n v="550"/>
    <m/>
    <m/>
    <x v="0"/>
    <m/>
    <n v="5171947"/>
    <s v="OK"/>
    <x v="10"/>
    <x v="1"/>
  </r>
  <r>
    <s v="Tr_318"/>
    <d v="2020-02-16T00:00:00"/>
    <x v="2"/>
    <n v="551"/>
    <m/>
    <m/>
    <x v="0"/>
    <m/>
    <n v="5171947"/>
    <s v="OK"/>
    <x v="10"/>
    <x v="1"/>
  </r>
  <r>
    <s v="Tr_319"/>
    <d v="2020-02-17T00:00:00"/>
    <x v="2"/>
    <n v="552"/>
    <m/>
    <m/>
    <x v="0"/>
    <m/>
    <n v="5171947"/>
    <s v="OK"/>
    <x v="10"/>
    <x v="1"/>
  </r>
  <r>
    <s v="Tr_320"/>
    <d v="2020-02-18T00:00:00"/>
    <x v="2"/>
    <n v="553"/>
    <m/>
    <m/>
    <x v="0"/>
    <m/>
    <n v="5171947"/>
    <s v="OK"/>
    <x v="10"/>
    <x v="1"/>
  </r>
  <r>
    <s v="Tr_321"/>
    <d v="2020-02-19T00:00:00"/>
    <x v="2"/>
    <n v="554"/>
    <m/>
    <m/>
    <x v="0"/>
    <m/>
    <n v="5171947"/>
    <s v="OK"/>
    <x v="10"/>
    <x v="1"/>
  </r>
  <r>
    <s v="Tr_322"/>
    <d v="2020-02-20T00:00:00"/>
    <x v="2"/>
    <n v="555"/>
    <m/>
    <m/>
    <x v="0"/>
    <m/>
    <n v="5171947"/>
    <s v="OK"/>
    <x v="10"/>
    <x v="1"/>
  </r>
  <r>
    <s v="Tr_323"/>
    <d v="2020-02-21T00:00:00"/>
    <x v="2"/>
    <n v="556"/>
    <m/>
    <m/>
    <x v="0"/>
    <m/>
    <n v="5171947"/>
    <s v="OK"/>
    <x v="10"/>
    <x v="1"/>
  </r>
  <r>
    <s v="Tr_324"/>
    <d v="2020-02-22T00:00:00"/>
    <x v="2"/>
    <n v="557"/>
    <m/>
    <m/>
    <x v="0"/>
    <m/>
    <n v="5171947"/>
    <s v="OK"/>
    <x v="10"/>
    <x v="1"/>
  </r>
  <r>
    <s v="Tr_325"/>
    <d v="2020-02-23T00:00:00"/>
    <x v="2"/>
    <n v="558"/>
    <m/>
    <m/>
    <x v="0"/>
    <m/>
    <n v="5171947"/>
    <s v="OK"/>
    <x v="10"/>
    <x v="1"/>
  </r>
  <r>
    <s v="Tr_326"/>
    <d v="2020-02-24T00:00:00"/>
    <x v="2"/>
    <n v="559"/>
    <m/>
    <m/>
    <x v="0"/>
    <m/>
    <n v="5171947"/>
    <s v="OK"/>
    <x v="10"/>
    <x v="1"/>
  </r>
  <r>
    <s v="Tr_327"/>
    <d v="2020-02-25T00:00:00"/>
    <x v="2"/>
    <n v="560"/>
    <m/>
    <m/>
    <x v="0"/>
    <m/>
    <n v="5171947"/>
    <s v="OK"/>
    <x v="10"/>
    <x v="1"/>
  </r>
  <r>
    <s v="Tr_328"/>
    <d v="2020-02-26T00:00:00"/>
    <x v="2"/>
    <n v="561"/>
    <m/>
    <m/>
    <x v="0"/>
    <m/>
    <n v="5171947"/>
    <s v="OK"/>
    <x v="10"/>
    <x v="1"/>
  </r>
  <r>
    <s v="Tr_329"/>
    <d v="2020-02-27T00:00:00"/>
    <x v="2"/>
    <n v="562"/>
    <m/>
    <m/>
    <x v="0"/>
    <m/>
    <n v="5171947"/>
    <s v="OK"/>
    <x v="10"/>
    <x v="1"/>
  </r>
  <r>
    <s v="Tr_330"/>
    <d v="2020-02-28T00:00:00"/>
    <x v="2"/>
    <n v="563"/>
    <m/>
    <m/>
    <x v="0"/>
    <m/>
    <n v="5171947"/>
    <s v="OK"/>
    <x v="10"/>
    <x v="1"/>
  </r>
  <r>
    <s v="Tr_331"/>
    <d v="2020-02-29T00:00:00"/>
    <x v="2"/>
    <n v="564"/>
    <m/>
    <m/>
    <x v="0"/>
    <m/>
    <n v="5171947"/>
    <s v="OK"/>
    <x v="10"/>
    <x v="1"/>
  </r>
  <r>
    <s v="Tr_332"/>
    <d v="2020-03-01T00:00:00"/>
    <x v="2"/>
    <n v="565"/>
    <m/>
    <m/>
    <x v="0"/>
    <m/>
    <n v="5171947"/>
    <s v="OK"/>
    <x v="11"/>
    <x v="1"/>
  </r>
  <r>
    <s v="Tr_333"/>
    <d v="2020-03-02T00:00:00"/>
    <x v="2"/>
    <n v="566"/>
    <m/>
    <m/>
    <x v="0"/>
    <m/>
    <n v="5171947"/>
    <s v="OK"/>
    <x v="11"/>
    <x v="1"/>
  </r>
  <r>
    <s v="Tr_334"/>
    <d v="2020-03-03T00:00:00"/>
    <x v="2"/>
    <n v="567"/>
    <m/>
    <m/>
    <x v="0"/>
    <m/>
    <n v="5171947"/>
    <s v="OK"/>
    <x v="11"/>
    <x v="1"/>
  </r>
  <r>
    <s v="Tr_335"/>
    <d v="2020-03-04T00:00:00"/>
    <x v="2"/>
    <n v="568"/>
    <m/>
    <m/>
    <x v="0"/>
    <m/>
    <n v="5171947"/>
    <s v="OK"/>
    <x v="11"/>
    <x v="1"/>
  </r>
  <r>
    <s v="Tr_336"/>
    <d v="2020-03-05T00:00:00"/>
    <x v="2"/>
    <n v="569"/>
    <m/>
    <m/>
    <x v="0"/>
    <m/>
    <n v="5171947"/>
    <s v="OK"/>
    <x v="11"/>
    <x v="1"/>
  </r>
  <r>
    <s v="Tr_337"/>
    <d v="2020-03-06T00:00:00"/>
    <x v="2"/>
    <n v="570"/>
    <m/>
    <m/>
    <x v="0"/>
    <m/>
    <n v="5171947"/>
    <s v="OK"/>
    <x v="11"/>
    <x v="1"/>
  </r>
  <r>
    <s v="Tr_338"/>
    <d v="2020-03-07T00:00:00"/>
    <x v="2"/>
    <n v="571"/>
    <m/>
    <m/>
    <x v="0"/>
    <m/>
    <n v="5171947"/>
    <s v="OK"/>
    <x v="11"/>
    <x v="1"/>
  </r>
  <r>
    <s v="Tr_339"/>
    <d v="2020-03-08T00:00:00"/>
    <x v="2"/>
    <n v="572"/>
    <m/>
    <m/>
    <x v="0"/>
    <m/>
    <n v="5171947"/>
    <s v="OK"/>
    <x v="11"/>
    <x v="1"/>
  </r>
  <r>
    <s v="Tr_340"/>
    <d v="2020-03-09T00:00:00"/>
    <x v="2"/>
    <n v="573"/>
    <m/>
    <m/>
    <x v="0"/>
    <m/>
    <n v="5171947"/>
    <s v="OK"/>
    <x v="11"/>
    <x v="1"/>
  </r>
  <r>
    <s v="Tr_341"/>
    <d v="2020-03-10T00:00:00"/>
    <x v="2"/>
    <n v="574"/>
    <m/>
    <m/>
    <x v="0"/>
    <m/>
    <n v="5171947"/>
    <s v="OK"/>
    <x v="11"/>
    <x v="1"/>
  </r>
  <r>
    <s v="Tr_342"/>
    <d v="2020-03-11T00:00:00"/>
    <x v="2"/>
    <n v="575"/>
    <m/>
    <m/>
    <x v="0"/>
    <m/>
    <n v="5171947"/>
    <s v="OK"/>
    <x v="11"/>
    <x v="1"/>
  </r>
  <r>
    <s v="Tr_343"/>
    <d v="2020-03-12T00:00:00"/>
    <x v="2"/>
    <n v="576"/>
    <m/>
    <m/>
    <x v="0"/>
    <m/>
    <n v="5171947"/>
    <s v="OK"/>
    <x v="11"/>
    <x v="1"/>
  </r>
  <r>
    <s v="Tr_344"/>
    <d v="2020-03-13T00:00:00"/>
    <x v="2"/>
    <n v="577"/>
    <m/>
    <m/>
    <x v="0"/>
    <m/>
    <n v="5171947"/>
    <s v="OK"/>
    <x v="11"/>
    <x v="1"/>
  </r>
  <r>
    <s v="Tr_345"/>
    <d v="2020-03-14T00:00:00"/>
    <x v="2"/>
    <n v="578"/>
    <m/>
    <m/>
    <x v="0"/>
    <m/>
    <n v="5171947"/>
    <s v="OK"/>
    <x v="11"/>
    <x v="1"/>
  </r>
  <r>
    <s v="Tr_346"/>
    <d v="2020-03-15T00:00:00"/>
    <x v="2"/>
    <n v="579"/>
    <m/>
    <m/>
    <x v="0"/>
    <m/>
    <n v="5171947"/>
    <s v="OK"/>
    <x v="11"/>
    <x v="1"/>
  </r>
  <r>
    <s v="Tr_347"/>
    <d v="2020-03-16T00:00:00"/>
    <x v="2"/>
    <n v="580"/>
    <m/>
    <m/>
    <x v="0"/>
    <m/>
    <n v="5171947"/>
    <s v="OK"/>
    <x v="11"/>
    <x v="1"/>
  </r>
  <r>
    <s v="Tr_348"/>
    <d v="2020-03-17T00:00:00"/>
    <x v="2"/>
    <n v="581"/>
    <m/>
    <m/>
    <x v="0"/>
    <m/>
    <n v="5171947"/>
    <s v="OK"/>
    <x v="11"/>
    <x v="1"/>
  </r>
  <r>
    <s v="Tr_349"/>
    <d v="2020-03-18T00:00:00"/>
    <x v="2"/>
    <n v="582"/>
    <m/>
    <m/>
    <x v="0"/>
    <m/>
    <n v="5171947"/>
    <s v="OK"/>
    <x v="11"/>
    <x v="1"/>
  </r>
  <r>
    <s v="Tr_350"/>
    <d v="2020-03-19T00:00:00"/>
    <x v="2"/>
    <n v="583"/>
    <m/>
    <m/>
    <x v="0"/>
    <m/>
    <n v="5171947"/>
    <s v="OK"/>
    <x v="11"/>
    <x v="1"/>
  </r>
  <r>
    <s v="Tr_351"/>
    <d v="2020-03-20T00:00:00"/>
    <x v="2"/>
    <n v="584"/>
    <m/>
    <m/>
    <x v="0"/>
    <m/>
    <n v="5171947"/>
    <s v="OK"/>
    <x v="11"/>
    <x v="1"/>
  </r>
  <r>
    <s v="Tr_352"/>
    <d v="2020-03-21T00:00:00"/>
    <x v="2"/>
    <n v="585"/>
    <m/>
    <m/>
    <x v="0"/>
    <m/>
    <n v="5171947"/>
    <s v="OK"/>
    <x v="11"/>
    <x v="1"/>
  </r>
  <r>
    <s v="Tr_353"/>
    <d v="2020-03-22T00:00:00"/>
    <x v="2"/>
    <n v="586"/>
    <m/>
    <m/>
    <x v="0"/>
    <m/>
    <n v="5171947"/>
    <s v="OK"/>
    <x v="11"/>
    <x v="1"/>
  </r>
  <r>
    <s v="Tr_354"/>
    <d v="2020-03-23T00:00:00"/>
    <x v="2"/>
    <n v="587"/>
    <m/>
    <m/>
    <x v="0"/>
    <m/>
    <n v="5171947"/>
    <s v="OK"/>
    <x v="11"/>
    <x v="1"/>
  </r>
  <r>
    <s v="Tr_355"/>
    <d v="2020-03-24T00:00:00"/>
    <x v="2"/>
    <n v="588"/>
    <m/>
    <m/>
    <x v="0"/>
    <m/>
    <n v="5171947"/>
    <s v="OK"/>
    <x v="11"/>
    <x v="1"/>
  </r>
  <r>
    <s v="Tr_356"/>
    <d v="2020-03-25T00:00:00"/>
    <x v="2"/>
    <n v="589"/>
    <m/>
    <m/>
    <x v="0"/>
    <m/>
    <n v="5171947"/>
    <s v="OK"/>
    <x v="11"/>
    <x v="1"/>
  </r>
  <r>
    <s v="Tr_357"/>
    <d v="2020-03-26T00:00:00"/>
    <x v="2"/>
    <n v="590"/>
    <m/>
    <m/>
    <x v="0"/>
    <m/>
    <n v="5171947"/>
    <s v="OK"/>
    <x v="11"/>
    <x v="1"/>
  </r>
  <r>
    <s v="Tr_358"/>
    <d v="2020-03-27T00:00:00"/>
    <x v="2"/>
    <n v="591"/>
    <m/>
    <m/>
    <x v="0"/>
    <m/>
    <n v="5171947"/>
    <s v="OK"/>
    <x v="11"/>
    <x v="1"/>
  </r>
  <r>
    <s v="Tr_359"/>
    <d v="2020-03-28T00:00:00"/>
    <x v="2"/>
    <n v="592"/>
    <m/>
    <m/>
    <x v="0"/>
    <m/>
    <n v="5171947"/>
    <s v="OK"/>
    <x v="11"/>
    <x v="1"/>
  </r>
  <r>
    <s v="Tr_360"/>
    <d v="2020-03-29T00:00:00"/>
    <x v="2"/>
    <n v="593"/>
    <m/>
    <m/>
    <x v="0"/>
    <m/>
    <n v="5171947"/>
    <s v="OK"/>
    <x v="11"/>
    <x v="1"/>
  </r>
  <r>
    <s v="Tr_361"/>
    <d v="2020-03-30T00:00:00"/>
    <x v="2"/>
    <n v="594"/>
    <m/>
    <m/>
    <x v="0"/>
    <m/>
    <n v="5171947"/>
    <s v="OK"/>
    <x v="11"/>
    <x v="1"/>
  </r>
  <r>
    <s v="Tr_362"/>
    <m/>
    <x v="2"/>
    <m/>
    <m/>
    <m/>
    <x v="0"/>
    <m/>
    <n v="5171947"/>
    <s v="OK"/>
    <x v="9"/>
    <x v="2"/>
  </r>
  <r>
    <s v="Tr_363"/>
    <m/>
    <x v="2"/>
    <m/>
    <m/>
    <m/>
    <x v="0"/>
    <m/>
    <n v="5171947"/>
    <s v="OK"/>
    <x v="9"/>
    <x v="2"/>
  </r>
  <r>
    <s v="Tr_364"/>
    <m/>
    <x v="2"/>
    <m/>
    <m/>
    <m/>
    <x v="0"/>
    <m/>
    <n v="5171947"/>
    <s v="OK"/>
    <x v="9"/>
    <x v="2"/>
  </r>
  <r>
    <s v="Tr_365"/>
    <m/>
    <x v="2"/>
    <m/>
    <m/>
    <m/>
    <x v="0"/>
    <m/>
    <n v="5171947"/>
    <s v="OK"/>
    <x v="9"/>
    <x v="2"/>
  </r>
  <r>
    <s v="Tr_366"/>
    <m/>
    <x v="2"/>
    <m/>
    <m/>
    <m/>
    <x v="0"/>
    <m/>
    <n v="5171947"/>
    <s v="OK"/>
    <x v="9"/>
    <x v="2"/>
  </r>
  <r>
    <s v="Tr_367"/>
    <m/>
    <x v="2"/>
    <m/>
    <m/>
    <m/>
    <x v="0"/>
    <m/>
    <n v="5171947"/>
    <s v="OK"/>
    <x v="9"/>
    <x v="2"/>
  </r>
  <r>
    <s v="Tr_368"/>
    <m/>
    <x v="2"/>
    <m/>
    <m/>
    <m/>
    <x v="0"/>
    <m/>
    <n v="5171947"/>
    <s v="OK"/>
    <x v="9"/>
    <x v="2"/>
  </r>
  <r>
    <s v="Tr_369"/>
    <m/>
    <x v="2"/>
    <m/>
    <m/>
    <m/>
    <x v="0"/>
    <m/>
    <n v="5171947"/>
    <s v="OK"/>
    <x v="9"/>
    <x v="2"/>
  </r>
  <r>
    <s v="Tr_370"/>
    <m/>
    <x v="2"/>
    <m/>
    <m/>
    <m/>
    <x v="0"/>
    <m/>
    <n v="5171947"/>
    <s v="OK"/>
    <x v="9"/>
    <x v="2"/>
  </r>
  <r>
    <s v="Tr_371"/>
    <m/>
    <x v="2"/>
    <m/>
    <m/>
    <m/>
    <x v="0"/>
    <m/>
    <n v="5171947"/>
    <s v="OK"/>
    <x v="9"/>
    <x v="2"/>
  </r>
  <r>
    <s v="Tr_372"/>
    <m/>
    <x v="2"/>
    <m/>
    <m/>
    <m/>
    <x v="0"/>
    <m/>
    <n v="5171947"/>
    <s v="OK"/>
    <x v="9"/>
    <x v="2"/>
  </r>
  <r>
    <s v="Tr_373"/>
    <m/>
    <x v="2"/>
    <m/>
    <m/>
    <m/>
    <x v="0"/>
    <m/>
    <n v="5171947"/>
    <s v="OK"/>
    <x v="9"/>
    <x v="2"/>
  </r>
  <r>
    <s v="Tr_374"/>
    <m/>
    <x v="2"/>
    <m/>
    <m/>
    <m/>
    <x v="0"/>
    <m/>
    <n v="5171947"/>
    <s v="OK"/>
    <x v="9"/>
    <x v="2"/>
  </r>
  <r>
    <s v="Tr_375"/>
    <m/>
    <x v="2"/>
    <m/>
    <m/>
    <m/>
    <x v="0"/>
    <m/>
    <n v="5171947"/>
    <s v="OK"/>
    <x v="9"/>
    <x v="2"/>
  </r>
  <r>
    <s v="Tr_376"/>
    <m/>
    <x v="2"/>
    <m/>
    <m/>
    <m/>
    <x v="0"/>
    <m/>
    <n v="5171947"/>
    <s v="OK"/>
    <x v="9"/>
    <x v="2"/>
  </r>
  <r>
    <s v="Tr_377"/>
    <m/>
    <x v="2"/>
    <m/>
    <m/>
    <m/>
    <x v="0"/>
    <m/>
    <n v="5171947"/>
    <s v="OK"/>
    <x v="9"/>
    <x v="2"/>
  </r>
  <r>
    <s v="Tr_378"/>
    <m/>
    <x v="2"/>
    <m/>
    <m/>
    <m/>
    <x v="0"/>
    <m/>
    <n v="5171947"/>
    <s v="OK"/>
    <x v="9"/>
    <x v="2"/>
  </r>
  <r>
    <s v="Tr_379"/>
    <m/>
    <x v="2"/>
    <m/>
    <m/>
    <m/>
    <x v="0"/>
    <m/>
    <n v="5171947"/>
    <s v="OK"/>
    <x v="9"/>
    <x v="2"/>
  </r>
  <r>
    <s v="Tr_380"/>
    <m/>
    <x v="2"/>
    <m/>
    <m/>
    <m/>
    <x v="0"/>
    <m/>
    <n v="5171947"/>
    <s v="OK"/>
    <x v="9"/>
    <x v="2"/>
  </r>
  <r>
    <s v="Tr_381"/>
    <m/>
    <x v="2"/>
    <m/>
    <m/>
    <m/>
    <x v="0"/>
    <m/>
    <n v="5171947"/>
    <s v="OK"/>
    <x v="9"/>
    <x v="2"/>
  </r>
  <r>
    <s v="Tr_382"/>
    <m/>
    <x v="2"/>
    <m/>
    <m/>
    <m/>
    <x v="0"/>
    <m/>
    <n v="5171947"/>
    <s v="OK"/>
    <x v="9"/>
    <x v="2"/>
  </r>
  <r>
    <s v="Tr_383"/>
    <m/>
    <x v="2"/>
    <m/>
    <m/>
    <m/>
    <x v="0"/>
    <m/>
    <n v="5171947"/>
    <s v="OK"/>
    <x v="9"/>
    <x v="2"/>
  </r>
  <r>
    <s v="Tr_384"/>
    <m/>
    <x v="2"/>
    <m/>
    <m/>
    <m/>
    <x v="0"/>
    <m/>
    <n v="5171947"/>
    <s v="OK"/>
    <x v="9"/>
    <x v="2"/>
  </r>
  <r>
    <s v="Tr_385"/>
    <m/>
    <x v="2"/>
    <m/>
    <m/>
    <m/>
    <x v="0"/>
    <m/>
    <n v="5171947"/>
    <s v="OK"/>
    <x v="9"/>
    <x v="2"/>
  </r>
  <r>
    <s v="Tr_386"/>
    <m/>
    <x v="2"/>
    <m/>
    <m/>
    <m/>
    <x v="0"/>
    <m/>
    <n v="5171947"/>
    <s v="OK"/>
    <x v="9"/>
    <x v="2"/>
  </r>
  <r>
    <s v="Tr_387"/>
    <m/>
    <x v="2"/>
    <m/>
    <m/>
    <m/>
    <x v="0"/>
    <m/>
    <n v="5171947"/>
    <s v="OK"/>
    <x v="9"/>
    <x v="2"/>
  </r>
  <r>
    <s v="Tr_388"/>
    <m/>
    <x v="2"/>
    <m/>
    <m/>
    <m/>
    <x v="0"/>
    <m/>
    <n v="5171947"/>
    <s v="OK"/>
    <x v="9"/>
    <x v="2"/>
  </r>
  <r>
    <s v="Tr_389"/>
    <m/>
    <x v="2"/>
    <m/>
    <m/>
    <m/>
    <x v="0"/>
    <m/>
    <n v="5171947"/>
    <s v="OK"/>
    <x v="9"/>
    <x v="2"/>
  </r>
  <r>
    <s v="Tr_390"/>
    <m/>
    <x v="2"/>
    <m/>
    <m/>
    <m/>
    <x v="0"/>
    <m/>
    <n v="5171947"/>
    <s v="OK"/>
    <x v="9"/>
    <x v="2"/>
  </r>
  <r>
    <s v="Tr_391"/>
    <m/>
    <x v="2"/>
    <m/>
    <m/>
    <m/>
    <x v="0"/>
    <m/>
    <n v="5171947"/>
    <s v="OK"/>
    <x v="9"/>
    <x v="2"/>
  </r>
  <r>
    <s v="Tr_392"/>
    <m/>
    <x v="2"/>
    <m/>
    <m/>
    <m/>
    <x v="0"/>
    <m/>
    <n v="5171947"/>
    <s v="OK"/>
    <x v="9"/>
    <x v="2"/>
  </r>
  <r>
    <s v="Tr_393"/>
    <m/>
    <x v="2"/>
    <m/>
    <m/>
    <m/>
    <x v="0"/>
    <m/>
    <n v="5171947"/>
    <s v="OK"/>
    <x v="9"/>
    <x v="2"/>
  </r>
  <r>
    <s v="Tr_394"/>
    <m/>
    <x v="2"/>
    <m/>
    <m/>
    <m/>
    <x v="0"/>
    <m/>
    <n v="5171947"/>
    <s v="OK"/>
    <x v="9"/>
    <x v="2"/>
  </r>
  <r>
    <s v="Tr_395"/>
    <m/>
    <x v="2"/>
    <m/>
    <m/>
    <m/>
    <x v="0"/>
    <m/>
    <n v="5171947"/>
    <s v="OK"/>
    <x v="9"/>
    <x v="2"/>
  </r>
  <r>
    <s v="Tr_396"/>
    <m/>
    <x v="2"/>
    <m/>
    <m/>
    <m/>
    <x v="0"/>
    <m/>
    <n v="5171947"/>
    <s v="OK"/>
    <x v="9"/>
    <x v="2"/>
  </r>
  <r>
    <s v="Tr_397"/>
    <m/>
    <x v="2"/>
    <m/>
    <m/>
    <m/>
    <x v="0"/>
    <m/>
    <n v="5171947"/>
    <s v="OK"/>
    <x v="9"/>
    <x v="2"/>
  </r>
  <r>
    <s v="Tr_398"/>
    <m/>
    <x v="2"/>
    <m/>
    <m/>
    <m/>
    <x v="0"/>
    <m/>
    <n v="5171947"/>
    <s v="OK"/>
    <x v="9"/>
    <x v="2"/>
  </r>
  <r>
    <s v="Tr_399"/>
    <m/>
    <x v="2"/>
    <m/>
    <m/>
    <m/>
    <x v="0"/>
    <m/>
    <n v="5171947"/>
    <s v="OK"/>
    <x v="9"/>
    <x v="2"/>
  </r>
  <r>
    <s v="Tr_400"/>
    <m/>
    <x v="2"/>
    <m/>
    <m/>
    <m/>
    <x v="0"/>
    <m/>
    <n v="5171947"/>
    <s v="OK"/>
    <x v="9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O5:Q18" firstHeaderRow="0" firstDataRow="1" firstDataCol="1" rowPageCount="1" colPageCount="1"/>
  <pivotFields count="12"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numFmtId="169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Sum of PAYMENT" fld="5" baseField="10" baseItem="0"/>
    <dataField name="Sum of SALE" fld="4" baseField="10" baseItem="0"/>
  </dataFields>
  <formats count="7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0" type="button" dataOnly="0" labelOnly="1" outline="0" axis="axisRow" fieldPosition="0"/>
    </format>
    <format dxfId="23">
      <pivotArea dataOnly="0" labelOnly="1" fieldPosition="0">
        <references count="1">
          <reference field="10" count="0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W5:X8" firstHeaderRow="1" firstDataRow="1" firstDataCol="1" rowPageCount="2" colPageCount="1"/>
  <pivotFields count="12">
    <pivotField showAll="0"/>
    <pivotField showAll="0"/>
    <pivotField multipleItemSelectionAllowed="1" showAll="0"/>
    <pivotField showAll="0"/>
    <pivotField showAll="0"/>
    <pivotField dataField="1" showAll="0"/>
    <pivotField axis="axisPage" multipleItemSelectionAllowed="1" showAll="0">
      <items count="4">
        <item x="1"/>
        <item x="2"/>
        <item h="1" x="0"/>
        <item t="default"/>
      </items>
    </pivotField>
    <pivotField showAll="0"/>
    <pivotField numFmtId="169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3">
    <i>
      <x v="3"/>
    </i>
    <i>
      <x v="4"/>
    </i>
    <i t="grand">
      <x/>
    </i>
  </rowItems>
  <colItems count="1">
    <i/>
  </colItems>
  <pageFields count="2">
    <pageField fld="11" hier="-1"/>
    <pageField fld="6" hier="-1"/>
  </pageFields>
  <dataFields count="1">
    <dataField name="Sum of PAYMENT" fld="5" baseField="10" baseItem="0"/>
  </dataFields>
  <formats count="7">
    <format dxfId="34">
      <pivotArea outline="0" collapsedLevelsAreSubtotals="1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10" type="button" dataOnly="0" labelOnly="1" outline="0" axis="axisRow" fieldPosition="0"/>
    </format>
    <format dxfId="30">
      <pivotArea dataOnly="0" labelOnly="1" fieldPosition="0">
        <references count="1">
          <reference field="10" count="0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S5:T18" firstHeaderRow="1" firstDataRow="1" firstDataCol="1" rowPageCount="1" colPageCount="1"/>
  <pivotFields count="12">
    <pivotField showAll="0"/>
    <pivotField showAll="0"/>
    <pivotField axis="axisRow" multipleItemSelectionAllowed="1" showAll="0">
      <items count="4">
        <item x="1"/>
        <item x="0"/>
        <item h="1" x="2"/>
        <item t="default"/>
      </items>
    </pivotField>
    <pivotField showAll="0"/>
    <pivotField dataField="1" showAll="0"/>
    <pivotField showAll="0"/>
    <pivotField showAll="0"/>
    <pivotField showAll="0"/>
    <pivotField numFmtId="169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2">
    <field x="10"/>
    <field x="2"/>
  </rowFields>
  <rowItems count="13"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 t="grand">
      <x/>
    </i>
  </rowItems>
  <colItems count="1">
    <i/>
  </colItems>
  <pageFields count="1">
    <pageField fld="11" hier="-1"/>
  </pageFields>
  <dataFields count="1">
    <dataField name="Sum of SALE" fld="4" baseField="10" baseItem="0"/>
  </dataFields>
  <formats count="7">
    <format dxfId="41">
      <pivotArea outline="0" collapsedLevelsAreSubtotals="1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10" type="button" dataOnly="0" labelOnly="1" outline="0" axis="axisRow" fieldPosition="0"/>
    </format>
    <format dxfId="37">
      <pivotArea dataOnly="0" labelOnly="1" fieldPosition="0">
        <references count="1">
          <reference field="10" count="0"/>
        </references>
      </pivotArea>
    </format>
    <format dxfId="36">
      <pivotArea dataOnly="0" labelOnly="1" grandRow="1" outline="0" fieldPosition="0"/>
    </format>
    <format dxfId="3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W5:X8" firstHeaderRow="1" firstDataRow="1" firstDataCol="1" rowPageCount="2" colPageCount="1"/>
  <pivotFields count="12">
    <pivotField showAll="0"/>
    <pivotField showAll="0"/>
    <pivotField multipleItemSelectionAllowed="1" showAll="0"/>
    <pivotField showAll="0"/>
    <pivotField showAll="0"/>
    <pivotField dataField="1" showAll="0"/>
    <pivotField axis="axisPage" multipleItemSelectionAllowed="1" showAll="0">
      <items count="4">
        <item x="1"/>
        <item x="2"/>
        <item h="1" x="0"/>
        <item t="default"/>
      </items>
    </pivotField>
    <pivotField showAll="0"/>
    <pivotField numFmtId="169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3">
    <i>
      <x v="3"/>
    </i>
    <i>
      <x v="4"/>
    </i>
    <i t="grand">
      <x/>
    </i>
  </rowItems>
  <colItems count="1">
    <i/>
  </colItems>
  <pageFields count="2">
    <pageField fld="11" hier="-1"/>
    <pageField fld="6" hier="-1"/>
  </pageFields>
  <dataFields count="1">
    <dataField name="Sum of PAYMENT" fld="5" baseField="10" baseItem="0"/>
  </dataFields>
  <formats count="7">
    <format dxfId="6">
      <pivotArea outline="0" collapsedLevelsAreSubtotals="1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0" type="button" dataOnly="0" labelOnly="1" outline="0" axis="axisRow" fieldPosition="0"/>
    </format>
    <format dxfId="2">
      <pivotArea dataOnly="0" labelOnly="1" fieldPosition="0">
        <references count="1">
          <reference field="1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O5:Q18" firstHeaderRow="0" firstDataRow="1" firstDataCol="1" rowPageCount="1" colPageCount="1"/>
  <pivotFields count="12"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numFmtId="169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Sum of PAYMENT" fld="5" baseField="10" baseItem="0"/>
    <dataField name="Sum of SALE" fld="4" baseField="10" baseItem="0"/>
  </dataFields>
  <formats count="7">
    <format dxfId="13">
      <pivotArea outline="0" collapsedLevelsAreSubtotals="1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10" type="button" dataOnly="0" labelOnly="1" outline="0" axis="axisRow" fieldPosition="0"/>
    </format>
    <format dxfId="9">
      <pivotArea dataOnly="0" labelOnly="1" fieldPosition="0">
        <references count="1">
          <reference field="10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S5:T18" firstHeaderRow="1" firstDataRow="1" firstDataCol="1" rowPageCount="1" colPageCount="1"/>
  <pivotFields count="12">
    <pivotField showAll="0"/>
    <pivotField showAll="0"/>
    <pivotField axis="axisRow" multipleItemSelectionAllowed="1" showAll="0">
      <items count="4">
        <item x="1"/>
        <item x="0"/>
        <item h="1" x="2"/>
        <item t="default"/>
      </items>
    </pivotField>
    <pivotField showAll="0"/>
    <pivotField dataField="1" showAll="0"/>
    <pivotField showAll="0"/>
    <pivotField showAll="0"/>
    <pivotField showAll="0"/>
    <pivotField numFmtId="169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2">
    <field x="10"/>
    <field x="2"/>
  </rowFields>
  <rowItems count="13"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 t="grand">
      <x/>
    </i>
  </rowItems>
  <colItems count="1">
    <i/>
  </colItems>
  <pageFields count="1">
    <pageField fld="11" hier="-1"/>
  </pageFields>
  <dataFields count="1">
    <dataField name="Sum of SALE" fld="4" baseField="10" baseItem="0"/>
  </dataFields>
  <formats count="7"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0" type="button" dataOnly="0" labelOnly="1" outline="0" axis="axisRow" fieldPosition="0"/>
    </format>
    <format dxfId="16">
      <pivotArea dataOnly="0" labelOnly="1" fieldPosition="0">
        <references count="1">
          <reference field="10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newgreentea.co.in/" TargetMode="External"/><Relationship Id="rId1" Type="http://schemas.openxmlformats.org/officeDocument/2006/relationships/hyperlink" Target="http://www.newgreente.co.in/" TargetMode="Externa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05"/>
  <sheetViews>
    <sheetView workbookViewId="0">
      <pane xSplit="9" ySplit="5" topLeftCell="J99" activePane="bottomRight" state="frozen"/>
      <selection pane="topRight" activeCell="J1" sqref="J1"/>
      <selection pane="bottomLeft" activeCell="A6" sqref="A6"/>
      <selection pane="bottomRight" activeCell="G104" sqref="G104"/>
    </sheetView>
  </sheetViews>
  <sheetFormatPr defaultRowHeight="15" x14ac:dyDescent="0.25"/>
  <cols>
    <col min="1" max="1" width="2.140625" customWidth="1"/>
    <col min="2" max="2" width="8.42578125" bestFit="1" customWidth="1"/>
    <col min="3" max="3" width="26.28515625" bestFit="1" customWidth="1"/>
    <col min="4" max="4" width="23" bestFit="1" customWidth="1"/>
    <col min="5" max="5" width="16.85546875" bestFit="1" customWidth="1"/>
    <col min="6" max="6" width="11" bestFit="1" customWidth="1"/>
    <col min="7" max="7" width="11.85546875" bestFit="1" customWidth="1"/>
    <col min="8" max="8" width="12.140625" bestFit="1" customWidth="1"/>
    <col min="9" max="9" width="12.42578125" bestFit="1" customWidth="1"/>
  </cols>
  <sheetData>
    <row r="1" spans="1:9" ht="15.75" thickBot="1" x14ac:dyDescent="0.3">
      <c r="A1" s="91"/>
      <c r="B1" s="185" t="s">
        <v>160</v>
      </c>
      <c r="C1" s="186"/>
      <c r="D1" s="186"/>
      <c r="E1" s="186"/>
      <c r="F1" s="181" t="s">
        <v>185</v>
      </c>
      <c r="G1" s="182"/>
      <c r="H1" s="93" t="s">
        <v>158</v>
      </c>
      <c r="I1" s="178"/>
    </row>
    <row r="2" spans="1:9" ht="15.75" thickBot="1" x14ac:dyDescent="0.3">
      <c r="A2" s="91"/>
      <c r="B2" s="187"/>
      <c r="C2" s="188"/>
      <c r="D2" s="188"/>
      <c r="E2" s="188"/>
      <c r="F2" s="183" t="s">
        <v>186</v>
      </c>
      <c r="G2" s="184"/>
      <c r="H2" s="94">
        <f ca="1">TODAY()</f>
        <v>43928</v>
      </c>
      <c r="I2" s="179"/>
    </row>
    <row r="3" spans="1:9" ht="19.5" thickBot="1" x14ac:dyDescent="0.35">
      <c r="A3" s="91"/>
      <c r="B3" s="99"/>
      <c r="C3" s="189" t="s">
        <v>161</v>
      </c>
      <c r="D3" s="190"/>
      <c r="E3" s="193"/>
      <c r="F3" s="194"/>
      <c r="G3" s="194"/>
      <c r="H3" s="195"/>
      <c r="I3" s="179"/>
    </row>
    <row r="4" spans="1:9" ht="15.75" thickBot="1" x14ac:dyDescent="0.3">
      <c r="A4" s="91"/>
      <c r="B4" s="100"/>
      <c r="C4" s="191" t="s">
        <v>162</v>
      </c>
      <c r="D4" s="192"/>
      <c r="E4" s="196"/>
      <c r="F4" s="197"/>
      <c r="G4" s="197"/>
      <c r="H4" s="198"/>
      <c r="I4" s="180"/>
    </row>
    <row r="5" spans="1:9" ht="15.75" thickBot="1" x14ac:dyDescent="0.3">
      <c r="A5" s="91"/>
      <c r="B5" s="96" t="s">
        <v>182</v>
      </c>
      <c r="C5" s="97" t="s">
        <v>165</v>
      </c>
      <c r="D5" s="97" t="s">
        <v>163</v>
      </c>
      <c r="E5" s="97" t="s">
        <v>183</v>
      </c>
      <c r="F5" s="97" t="s">
        <v>184</v>
      </c>
      <c r="G5" s="97" t="s">
        <v>164</v>
      </c>
      <c r="H5" s="98" t="s">
        <v>156</v>
      </c>
      <c r="I5" s="101" t="s">
        <v>187</v>
      </c>
    </row>
    <row r="6" spans="1:9" x14ac:dyDescent="0.25">
      <c r="B6" s="95" t="s">
        <v>198</v>
      </c>
      <c r="C6" s="95" t="s">
        <v>1025</v>
      </c>
      <c r="D6" s="95" t="s">
        <v>79</v>
      </c>
      <c r="E6" s="95" t="s">
        <v>1001</v>
      </c>
      <c r="F6" s="105">
        <v>9545202564</v>
      </c>
      <c r="G6" s="95">
        <v>25</v>
      </c>
      <c r="H6" s="103">
        <f>'AB AHAD MIR'!$J$7</f>
        <v>5171947</v>
      </c>
      <c r="I6" s="146" t="s">
        <v>188</v>
      </c>
    </row>
    <row r="7" spans="1:9" x14ac:dyDescent="0.25">
      <c r="B7" s="95" t="s">
        <v>199</v>
      </c>
      <c r="C7" s="92" t="s">
        <v>101</v>
      </c>
      <c r="D7" s="92" t="s">
        <v>79</v>
      </c>
      <c r="E7" s="92"/>
      <c r="F7" s="106"/>
      <c r="G7" s="92"/>
      <c r="H7" s="104"/>
      <c r="I7" s="102" t="s">
        <v>188</v>
      </c>
    </row>
    <row r="8" spans="1:9" x14ac:dyDescent="0.25">
      <c r="B8" s="95" t="s">
        <v>200</v>
      </c>
      <c r="C8" s="92" t="s">
        <v>80</v>
      </c>
      <c r="D8" s="92" t="s">
        <v>115</v>
      </c>
      <c r="E8" s="92"/>
      <c r="F8" s="106"/>
      <c r="G8" s="92"/>
      <c r="H8" s="104"/>
      <c r="I8" s="102" t="s">
        <v>188</v>
      </c>
    </row>
    <row r="9" spans="1:9" x14ac:dyDescent="0.25">
      <c r="B9" s="95" t="s">
        <v>201</v>
      </c>
      <c r="C9" s="92" t="s">
        <v>90</v>
      </c>
      <c r="D9" s="92" t="s">
        <v>124</v>
      </c>
      <c r="E9" s="92"/>
      <c r="F9" s="106"/>
      <c r="G9" s="92"/>
      <c r="H9" s="104"/>
      <c r="I9" s="102" t="s">
        <v>188</v>
      </c>
    </row>
    <row r="10" spans="1:9" x14ac:dyDescent="0.25">
      <c r="B10" s="95" t="s">
        <v>202</v>
      </c>
      <c r="C10" s="92" t="s">
        <v>87</v>
      </c>
      <c r="D10" s="92" t="s">
        <v>121</v>
      </c>
      <c r="E10" s="92"/>
      <c r="F10" s="106"/>
      <c r="G10" s="92"/>
      <c r="H10" s="104"/>
      <c r="I10" s="102" t="s">
        <v>188</v>
      </c>
    </row>
    <row r="11" spans="1:9" x14ac:dyDescent="0.25">
      <c r="B11" s="95" t="s">
        <v>203</v>
      </c>
      <c r="C11" s="92" t="s">
        <v>103</v>
      </c>
      <c r="D11" s="92" t="s">
        <v>151</v>
      </c>
      <c r="E11" s="92"/>
      <c r="F11" s="106"/>
      <c r="G11" s="92"/>
      <c r="H11" s="104"/>
      <c r="I11" s="102" t="s">
        <v>188</v>
      </c>
    </row>
    <row r="12" spans="1:9" x14ac:dyDescent="0.25">
      <c r="B12" s="95" t="s">
        <v>204</v>
      </c>
      <c r="C12" s="92" t="s">
        <v>104</v>
      </c>
      <c r="D12" s="92" t="s">
        <v>105</v>
      </c>
      <c r="E12" s="92"/>
      <c r="F12" s="106"/>
      <c r="G12" s="92"/>
      <c r="H12" s="104"/>
      <c r="I12" s="102" t="s">
        <v>188</v>
      </c>
    </row>
    <row r="13" spans="1:9" x14ac:dyDescent="0.25">
      <c r="B13" s="95" t="s">
        <v>205</v>
      </c>
      <c r="C13" s="92" t="s">
        <v>89</v>
      </c>
      <c r="D13" s="92" t="s">
        <v>123</v>
      </c>
      <c r="E13" s="92"/>
      <c r="F13" s="106"/>
      <c r="G13" s="92"/>
      <c r="H13" s="104"/>
      <c r="I13" s="102" t="s">
        <v>188</v>
      </c>
    </row>
    <row r="14" spans="1:9" x14ac:dyDescent="0.25">
      <c r="B14" s="95" t="s">
        <v>206</v>
      </c>
      <c r="C14" s="92" t="s">
        <v>2</v>
      </c>
      <c r="D14" s="92" t="s">
        <v>107</v>
      </c>
      <c r="E14" s="92"/>
      <c r="F14" s="106"/>
      <c r="G14" s="92"/>
      <c r="H14" s="104"/>
      <c r="I14" s="102" t="s">
        <v>188</v>
      </c>
    </row>
    <row r="15" spans="1:9" x14ac:dyDescent="0.25">
      <c r="B15" s="95" t="s">
        <v>207</v>
      </c>
      <c r="C15" s="92" t="s">
        <v>15</v>
      </c>
      <c r="D15" s="92" t="s">
        <v>125</v>
      </c>
      <c r="E15" s="92"/>
      <c r="F15" s="106"/>
      <c r="G15" s="92"/>
      <c r="H15" s="104"/>
      <c r="I15" s="102" t="s">
        <v>188</v>
      </c>
    </row>
    <row r="16" spans="1:9" x14ac:dyDescent="0.25">
      <c r="B16" s="95" t="s">
        <v>208</v>
      </c>
      <c r="C16" s="92" t="s">
        <v>81</v>
      </c>
      <c r="D16" s="92" t="s">
        <v>116</v>
      </c>
      <c r="E16" s="92"/>
      <c r="F16" s="106"/>
      <c r="G16" s="92"/>
      <c r="H16" s="104"/>
      <c r="I16" s="102" t="s">
        <v>188</v>
      </c>
    </row>
    <row r="17" spans="2:9" x14ac:dyDescent="0.25">
      <c r="B17" s="95" t="s">
        <v>209</v>
      </c>
      <c r="C17" s="92" t="s">
        <v>92</v>
      </c>
      <c r="D17" s="92" t="s">
        <v>125</v>
      </c>
      <c r="E17" s="92"/>
      <c r="F17" s="106"/>
      <c r="G17" s="92"/>
      <c r="H17" s="104"/>
      <c r="I17" s="102" t="s">
        <v>188</v>
      </c>
    </row>
    <row r="18" spans="2:9" x14ac:dyDescent="0.25">
      <c r="B18" s="95" t="s">
        <v>210</v>
      </c>
      <c r="C18" s="92" t="s">
        <v>98</v>
      </c>
      <c r="D18" s="92" t="s">
        <v>147</v>
      </c>
      <c r="E18" s="92"/>
      <c r="F18" s="106"/>
      <c r="G18" s="92"/>
      <c r="H18" s="104"/>
      <c r="I18" s="102" t="s">
        <v>188</v>
      </c>
    </row>
    <row r="19" spans="2:9" x14ac:dyDescent="0.25">
      <c r="B19" s="95" t="s">
        <v>211</v>
      </c>
      <c r="C19" s="92" t="s">
        <v>91</v>
      </c>
      <c r="D19" s="92" t="s">
        <v>121</v>
      </c>
      <c r="E19" s="92"/>
      <c r="F19" s="106"/>
      <c r="G19" s="92"/>
      <c r="H19" s="104"/>
      <c r="I19" s="102" t="s">
        <v>188</v>
      </c>
    </row>
    <row r="20" spans="2:9" x14ac:dyDescent="0.25">
      <c r="B20" s="95" t="s">
        <v>212</v>
      </c>
      <c r="C20" s="92" t="s">
        <v>88</v>
      </c>
      <c r="D20" s="92" t="s">
        <v>106</v>
      </c>
      <c r="E20" s="92"/>
      <c r="F20" s="106"/>
      <c r="G20" s="92"/>
      <c r="H20" s="104"/>
      <c r="I20" s="102" t="s">
        <v>188</v>
      </c>
    </row>
    <row r="21" spans="2:9" x14ac:dyDescent="0.25">
      <c r="B21" s="95" t="s">
        <v>213</v>
      </c>
      <c r="C21" s="92" t="s">
        <v>88</v>
      </c>
      <c r="D21" s="92" t="s">
        <v>122</v>
      </c>
      <c r="E21" s="92"/>
      <c r="F21" s="106"/>
      <c r="G21" s="92"/>
      <c r="H21" s="104"/>
      <c r="I21" s="102" t="s">
        <v>188</v>
      </c>
    </row>
    <row r="22" spans="2:9" x14ac:dyDescent="0.25">
      <c r="B22" s="95" t="s">
        <v>214</v>
      </c>
      <c r="C22" s="92" t="s">
        <v>83</v>
      </c>
      <c r="D22" s="92" t="s">
        <v>115</v>
      </c>
      <c r="E22" s="92"/>
      <c r="F22" s="106"/>
      <c r="G22" s="92"/>
      <c r="H22" s="104"/>
      <c r="I22" s="102" t="s">
        <v>188</v>
      </c>
    </row>
    <row r="23" spans="2:9" x14ac:dyDescent="0.25">
      <c r="B23" s="95" t="s">
        <v>215</v>
      </c>
      <c r="C23" s="92" t="s">
        <v>84</v>
      </c>
      <c r="D23" s="92" t="s">
        <v>118</v>
      </c>
      <c r="E23" s="92"/>
      <c r="F23" s="106"/>
      <c r="G23" s="92"/>
      <c r="H23" s="104"/>
      <c r="I23" s="102" t="s">
        <v>188</v>
      </c>
    </row>
    <row r="24" spans="2:9" x14ac:dyDescent="0.25">
      <c r="B24" s="95" t="s">
        <v>216</v>
      </c>
      <c r="C24" s="92" t="s">
        <v>82</v>
      </c>
      <c r="D24" s="92" t="s">
        <v>117</v>
      </c>
      <c r="E24" s="92"/>
      <c r="F24" s="106"/>
      <c r="G24" s="92"/>
      <c r="H24" s="104"/>
      <c r="I24" s="102" t="s">
        <v>188</v>
      </c>
    </row>
    <row r="25" spans="2:9" x14ac:dyDescent="0.25">
      <c r="B25" s="95" t="s">
        <v>217</v>
      </c>
      <c r="C25" s="92" t="s">
        <v>85</v>
      </c>
      <c r="D25" s="92" t="s">
        <v>119</v>
      </c>
      <c r="E25" s="92"/>
      <c r="F25" s="106"/>
      <c r="G25" s="92"/>
      <c r="H25" s="104"/>
      <c r="I25" s="102" t="s">
        <v>188</v>
      </c>
    </row>
    <row r="26" spans="2:9" x14ac:dyDescent="0.25">
      <c r="B26" s="95" t="s">
        <v>218</v>
      </c>
      <c r="C26" s="92" t="s">
        <v>86</v>
      </c>
      <c r="D26" s="92" t="s">
        <v>120</v>
      </c>
      <c r="E26" s="92"/>
      <c r="F26" s="106"/>
      <c r="G26" s="92"/>
      <c r="H26" s="104"/>
      <c r="I26" s="102" t="s">
        <v>188</v>
      </c>
    </row>
    <row r="27" spans="2:9" x14ac:dyDescent="0.25">
      <c r="B27" s="95" t="s">
        <v>219</v>
      </c>
      <c r="C27" s="92" t="s">
        <v>93</v>
      </c>
      <c r="D27" s="92" t="s">
        <v>157</v>
      </c>
      <c r="E27" s="92"/>
      <c r="F27" s="106"/>
      <c r="G27" s="92"/>
      <c r="H27" s="104"/>
      <c r="I27" s="102" t="s">
        <v>188</v>
      </c>
    </row>
    <row r="28" spans="2:9" x14ac:dyDescent="0.25">
      <c r="B28" s="95" t="s">
        <v>220</v>
      </c>
      <c r="C28" s="92" t="s">
        <v>95</v>
      </c>
      <c r="D28" s="92" t="s">
        <v>121</v>
      </c>
      <c r="E28" s="92"/>
      <c r="F28" s="106"/>
      <c r="G28" s="92"/>
      <c r="H28" s="104"/>
      <c r="I28" s="102" t="s">
        <v>188</v>
      </c>
    </row>
    <row r="29" spans="2:9" x14ac:dyDescent="0.25">
      <c r="B29" s="95" t="s">
        <v>221</v>
      </c>
      <c r="C29" s="92" t="s">
        <v>99</v>
      </c>
      <c r="D29" s="92" t="s">
        <v>147</v>
      </c>
      <c r="E29" s="92"/>
      <c r="F29" s="106"/>
      <c r="G29" s="92"/>
      <c r="H29" s="104"/>
      <c r="I29" s="102" t="s">
        <v>188</v>
      </c>
    </row>
    <row r="30" spans="2:9" x14ac:dyDescent="0.25">
      <c r="B30" s="95" t="s">
        <v>222</v>
      </c>
      <c r="C30" s="92" t="s">
        <v>94</v>
      </c>
      <c r="D30" s="92" t="s">
        <v>115</v>
      </c>
      <c r="E30" s="92"/>
      <c r="F30" s="106"/>
      <c r="G30" s="92"/>
      <c r="H30" s="104"/>
      <c r="I30" s="102" t="s">
        <v>188</v>
      </c>
    </row>
    <row r="31" spans="2:9" x14ac:dyDescent="0.25">
      <c r="B31" s="95" t="s">
        <v>223</v>
      </c>
      <c r="C31" s="92" t="s">
        <v>102</v>
      </c>
      <c r="D31" s="92" t="s">
        <v>150</v>
      </c>
      <c r="E31" s="92"/>
      <c r="F31" s="106"/>
      <c r="G31" s="92"/>
      <c r="H31" s="104"/>
      <c r="I31" s="102" t="s">
        <v>188</v>
      </c>
    </row>
    <row r="32" spans="2:9" x14ac:dyDescent="0.25">
      <c r="B32" s="95" t="s">
        <v>224</v>
      </c>
      <c r="C32" s="92" t="s">
        <v>96</v>
      </c>
      <c r="D32" s="92" t="s">
        <v>127</v>
      </c>
      <c r="E32" s="92"/>
      <c r="F32" s="106"/>
      <c r="G32" s="92"/>
      <c r="H32" s="104"/>
      <c r="I32" s="102" t="s">
        <v>188</v>
      </c>
    </row>
    <row r="33" spans="2:9" x14ac:dyDescent="0.25">
      <c r="B33" s="95" t="s">
        <v>225</v>
      </c>
      <c r="C33" s="92" t="s">
        <v>154</v>
      </c>
      <c r="D33" s="92" t="s">
        <v>126</v>
      </c>
      <c r="E33" s="92"/>
      <c r="F33" s="106"/>
      <c r="G33" s="92"/>
      <c r="H33" s="104"/>
      <c r="I33" s="102" t="s">
        <v>188</v>
      </c>
    </row>
    <row r="34" spans="2:9" x14ac:dyDescent="0.25">
      <c r="B34" s="95" t="s">
        <v>226</v>
      </c>
      <c r="C34" s="92" t="s">
        <v>153</v>
      </c>
      <c r="D34" s="92" t="s">
        <v>112</v>
      </c>
      <c r="E34" s="92"/>
      <c r="F34" s="106"/>
      <c r="G34" s="92"/>
      <c r="H34" s="104"/>
      <c r="I34" s="102" t="s">
        <v>188</v>
      </c>
    </row>
    <row r="35" spans="2:9" x14ac:dyDescent="0.25">
      <c r="B35" s="95" t="s">
        <v>227</v>
      </c>
      <c r="C35" s="92" t="s">
        <v>155</v>
      </c>
      <c r="D35" s="92" t="s">
        <v>128</v>
      </c>
      <c r="E35" s="92"/>
      <c r="F35" s="106"/>
      <c r="G35" s="92"/>
      <c r="H35" s="104"/>
      <c r="I35" s="102" t="s">
        <v>188</v>
      </c>
    </row>
    <row r="36" spans="2:9" x14ac:dyDescent="0.25">
      <c r="B36" s="95" t="s">
        <v>228</v>
      </c>
      <c r="C36" s="92" t="s">
        <v>100</v>
      </c>
      <c r="D36" s="92" t="s">
        <v>147</v>
      </c>
      <c r="E36" s="92"/>
      <c r="F36" s="106"/>
      <c r="G36" s="92"/>
      <c r="H36" s="104"/>
      <c r="I36" s="102" t="s">
        <v>188</v>
      </c>
    </row>
    <row r="37" spans="2:9" x14ac:dyDescent="0.25">
      <c r="B37" s="95" t="s">
        <v>229</v>
      </c>
      <c r="C37" s="92" t="s">
        <v>97</v>
      </c>
      <c r="D37" s="92" t="s">
        <v>130</v>
      </c>
      <c r="E37" s="92"/>
      <c r="F37" s="106"/>
      <c r="G37" s="92"/>
      <c r="H37" s="104"/>
      <c r="I37" s="102" t="s">
        <v>188</v>
      </c>
    </row>
    <row r="38" spans="2:9" x14ac:dyDescent="0.25">
      <c r="B38" s="95" t="s">
        <v>230</v>
      </c>
      <c r="C38" s="92" t="s">
        <v>7</v>
      </c>
      <c r="D38" s="92" t="s">
        <v>111</v>
      </c>
      <c r="E38" s="92"/>
      <c r="F38" s="106"/>
      <c r="G38" s="92"/>
      <c r="H38" s="104"/>
      <c r="I38" s="102" t="s">
        <v>188</v>
      </c>
    </row>
    <row r="39" spans="2:9" x14ac:dyDescent="0.25">
      <c r="B39" s="95" t="s">
        <v>231</v>
      </c>
      <c r="C39" s="92" t="s">
        <v>76</v>
      </c>
      <c r="D39" s="92" t="s">
        <v>149</v>
      </c>
      <c r="E39" s="92"/>
      <c r="F39" s="106"/>
      <c r="G39" s="92"/>
      <c r="H39" s="104"/>
      <c r="I39" s="102" t="s">
        <v>188</v>
      </c>
    </row>
    <row r="40" spans="2:9" x14ac:dyDescent="0.25">
      <c r="B40" s="95" t="s">
        <v>232</v>
      </c>
      <c r="C40" s="92" t="s">
        <v>4</v>
      </c>
      <c r="D40" s="92" t="s">
        <v>106</v>
      </c>
      <c r="E40" s="92"/>
      <c r="F40" s="106"/>
      <c r="G40" s="92"/>
      <c r="H40" s="104"/>
      <c r="I40" s="102" t="s">
        <v>188</v>
      </c>
    </row>
    <row r="41" spans="2:9" x14ac:dyDescent="0.25">
      <c r="B41" s="95" t="s">
        <v>233</v>
      </c>
      <c r="C41" s="92" t="s">
        <v>3</v>
      </c>
      <c r="D41" s="92" t="s">
        <v>108</v>
      </c>
      <c r="E41" s="92"/>
      <c r="F41" s="106"/>
      <c r="G41" s="92"/>
      <c r="H41" s="104"/>
      <c r="I41" s="102" t="s">
        <v>188</v>
      </c>
    </row>
    <row r="42" spans="2:9" x14ac:dyDescent="0.25">
      <c r="B42" s="95" t="s">
        <v>234</v>
      </c>
      <c r="C42" s="92" t="s">
        <v>19</v>
      </c>
      <c r="D42" s="92" t="s">
        <v>115</v>
      </c>
      <c r="E42" s="92"/>
      <c r="F42" s="106"/>
      <c r="G42" s="92"/>
      <c r="H42" s="104"/>
      <c r="I42" s="102" t="s">
        <v>188</v>
      </c>
    </row>
    <row r="43" spans="2:9" x14ac:dyDescent="0.25">
      <c r="B43" s="95" t="s">
        <v>235</v>
      </c>
      <c r="C43" s="92" t="s">
        <v>6</v>
      </c>
      <c r="D43" s="92" t="s">
        <v>110</v>
      </c>
      <c r="E43" s="92"/>
      <c r="F43" s="106"/>
      <c r="G43" s="92"/>
      <c r="H43" s="104"/>
      <c r="I43" s="102" t="s">
        <v>188</v>
      </c>
    </row>
    <row r="44" spans="2:9" x14ac:dyDescent="0.25">
      <c r="B44" s="95" t="s">
        <v>236</v>
      </c>
      <c r="C44" s="92" t="s">
        <v>20</v>
      </c>
      <c r="D44" s="92" t="s">
        <v>121</v>
      </c>
      <c r="E44" s="92"/>
      <c r="F44" s="106"/>
      <c r="G44" s="92"/>
      <c r="H44" s="104"/>
      <c r="I44" s="102" t="s">
        <v>188</v>
      </c>
    </row>
    <row r="45" spans="2:9" x14ac:dyDescent="0.25">
      <c r="B45" s="95" t="s">
        <v>237</v>
      </c>
      <c r="C45" s="92" t="s">
        <v>17</v>
      </c>
      <c r="D45" s="92" t="s">
        <v>120</v>
      </c>
      <c r="E45" s="92"/>
      <c r="F45" s="106"/>
      <c r="G45" s="92"/>
      <c r="H45" s="104"/>
      <c r="I45" s="102" t="s">
        <v>188</v>
      </c>
    </row>
    <row r="46" spans="2:9" x14ac:dyDescent="0.25">
      <c r="B46" s="95" t="s">
        <v>238</v>
      </c>
      <c r="C46" s="92" t="s">
        <v>8</v>
      </c>
      <c r="D46" s="92" t="s">
        <v>112</v>
      </c>
      <c r="E46" s="92"/>
      <c r="F46" s="106"/>
      <c r="G46" s="92"/>
      <c r="H46" s="104"/>
      <c r="I46" s="102" t="s">
        <v>188</v>
      </c>
    </row>
    <row r="47" spans="2:9" x14ac:dyDescent="0.25">
      <c r="B47" s="95" t="s">
        <v>239</v>
      </c>
      <c r="C47" s="92" t="s">
        <v>16</v>
      </c>
      <c r="D47" s="92" t="s">
        <v>129</v>
      </c>
      <c r="E47" s="92"/>
      <c r="F47" s="106"/>
      <c r="G47" s="92"/>
      <c r="H47" s="104"/>
      <c r="I47" s="102" t="s">
        <v>188</v>
      </c>
    </row>
    <row r="48" spans="2:9" x14ac:dyDescent="0.25">
      <c r="B48" s="95" t="s">
        <v>240</v>
      </c>
      <c r="C48" s="92" t="s">
        <v>5</v>
      </c>
      <c r="D48" s="92" t="s">
        <v>109</v>
      </c>
      <c r="E48" s="92"/>
      <c r="F48" s="106"/>
      <c r="G48" s="92"/>
      <c r="H48" s="104"/>
      <c r="I48" s="102" t="s">
        <v>188</v>
      </c>
    </row>
    <row r="49" spans="2:9" x14ac:dyDescent="0.25">
      <c r="B49" s="95" t="s">
        <v>241</v>
      </c>
      <c r="C49" s="92" t="s">
        <v>70</v>
      </c>
      <c r="D49" s="92" t="s">
        <v>148</v>
      </c>
      <c r="E49" s="92"/>
      <c r="F49" s="106"/>
      <c r="G49" s="92"/>
      <c r="H49" s="104"/>
      <c r="I49" s="102" t="s">
        <v>188</v>
      </c>
    </row>
    <row r="50" spans="2:9" x14ac:dyDescent="0.25">
      <c r="B50" s="95" t="s">
        <v>242</v>
      </c>
      <c r="C50" s="92" t="s">
        <v>21</v>
      </c>
      <c r="D50" s="92" t="s">
        <v>111</v>
      </c>
      <c r="E50" s="92"/>
      <c r="F50" s="106"/>
      <c r="G50" s="92"/>
      <c r="H50" s="104"/>
      <c r="I50" s="102" t="s">
        <v>188</v>
      </c>
    </row>
    <row r="51" spans="2:9" x14ac:dyDescent="0.25">
      <c r="B51" s="95" t="s">
        <v>243</v>
      </c>
      <c r="C51" s="92" t="s">
        <v>18</v>
      </c>
      <c r="D51" s="92" t="s">
        <v>115</v>
      </c>
      <c r="E51" s="92"/>
      <c r="F51" s="106"/>
      <c r="G51" s="92"/>
      <c r="H51" s="104"/>
      <c r="I51" s="102" t="s">
        <v>188</v>
      </c>
    </row>
    <row r="52" spans="2:9" x14ac:dyDescent="0.25">
      <c r="B52" s="95" t="s">
        <v>244</v>
      </c>
      <c r="C52" s="92" t="s">
        <v>22</v>
      </c>
      <c r="D52" s="92" t="s">
        <v>115</v>
      </c>
      <c r="E52" s="92"/>
      <c r="F52" s="106"/>
      <c r="G52" s="92"/>
      <c r="H52" s="104"/>
      <c r="I52" s="102" t="s">
        <v>188</v>
      </c>
    </row>
    <row r="53" spans="2:9" x14ac:dyDescent="0.25">
      <c r="B53" s="95" t="s">
        <v>245</v>
      </c>
      <c r="C53" s="92" t="s">
        <v>14</v>
      </c>
      <c r="D53" s="92" t="s">
        <v>115</v>
      </c>
      <c r="E53" s="92"/>
      <c r="F53" s="106"/>
      <c r="G53" s="92"/>
      <c r="H53" s="104"/>
      <c r="I53" s="102" t="s">
        <v>188</v>
      </c>
    </row>
    <row r="54" spans="2:9" x14ac:dyDescent="0.25">
      <c r="B54" s="95" t="s">
        <v>246</v>
      </c>
      <c r="C54" s="92" t="s">
        <v>26</v>
      </c>
      <c r="D54" s="92" t="s">
        <v>131</v>
      </c>
      <c r="E54" s="92"/>
      <c r="F54" s="106"/>
      <c r="G54" s="92"/>
      <c r="H54" s="104"/>
      <c r="I54" s="102" t="s">
        <v>188</v>
      </c>
    </row>
    <row r="55" spans="2:9" x14ac:dyDescent="0.25">
      <c r="B55" s="95" t="s">
        <v>247</v>
      </c>
      <c r="C55" s="92" t="s">
        <v>68</v>
      </c>
      <c r="D55" s="92" t="s">
        <v>147</v>
      </c>
      <c r="E55" s="92"/>
      <c r="F55" s="106"/>
      <c r="G55" s="92"/>
      <c r="H55" s="104"/>
      <c r="I55" s="102" t="s">
        <v>188</v>
      </c>
    </row>
    <row r="56" spans="2:9" x14ac:dyDescent="0.25">
      <c r="B56" s="95" t="s">
        <v>248</v>
      </c>
      <c r="C56" s="92" t="s">
        <v>25</v>
      </c>
      <c r="D56" s="92" t="s">
        <v>115</v>
      </c>
      <c r="E56" s="92"/>
      <c r="F56" s="106"/>
      <c r="G56" s="92"/>
      <c r="H56" s="104"/>
      <c r="I56" s="102" t="s">
        <v>188</v>
      </c>
    </row>
    <row r="57" spans="2:9" x14ac:dyDescent="0.25">
      <c r="B57" s="95" t="s">
        <v>249</v>
      </c>
      <c r="C57" s="92" t="s">
        <v>23</v>
      </c>
      <c r="D57" s="92" t="s">
        <v>115</v>
      </c>
      <c r="E57" s="92"/>
      <c r="F57" s="106"/>
      <c r="G57" s="92"/>
      <c r="H57" s="104"/>
      <c r="I57" s="102" t="s">
        <v>188</v>
      </c>
    </row>
    <row r="58" spans="2:9" x14ac:dyDescent="0.25">
      <c r="B58" s="95" t="s">
        <v>250</v>
      </c>
      <c r="C58" s="92" t="s">
        <v>28</v>
      </c>
      <c r="D58" s="92" t="s">
        <v>132</v>
      </c>
      <c r="E58" s="92"/>
      <c r="F58" s="106"/>
      <c r="G58" s="92"/>
      <c r="H58" s="104"/>
      <c r="I58" s="102" t="s">
        <v>188</v>
      </c>
    </row>
    <row r="59" spans="2:9" x14ac:dyDescent="0.25">
      <c r="B59" s="95" t="s">
        <v>251</v>
      </c>
      <c r="C59" s="92" t="s">
        <v>27</v>
      </c>
      <c r="D59" s="92" t="s">
        <v>115</v>
      </c>
      <c r="E59" s="92"/>
      <c r="F59" s="106"/>
      <c r="G59" s="92"/>
      <c r="H59" s="104"/>
      <c r="I59" s="102" t="s">
        <v>188</v>
      </c>
    </row>
    <row r="60" spans="2:9" x14ac:dyDescent="0.25">
      <c r="B60" s="95" t="s">
        <v>252</v>
      </c>
      <c r="C60" s="92" t="s">
        <v>9</v>
      </c>
      <c r="D60" s="92" t="s">
        <v>106</v>
      </c>
      <c r="E60" s="92"/>
      <c r="F60" s="106"/>
      <c r="G60" s="92"/>
      <c r="H60" s="104"/>
      <c r="I60" s="102" t="s">
        <v>188</v>
      </c>
    </row>
    <row r="61" spans="2:9" x14ac:dyDescent="0.25">
      <c r="B61" s="95" t="s">
        <v>253</v>
      </c>
      <c r="C61" s="92" t="s">
        <v>69</v>
      </c>
      <c r="D61" s="92" t="s">
        <v>147</v>
      </c>
      <c r="E61" s="92"/>
      <c r="F61" s="106"/>
      <c r="G61" s="92"/>
      <c r="H61" s="104"/>
      <c r="I61" s="102" t="s">
        <v>188</v>
      </c>
    </row>
    <row r="62" spans="2:9" x14ac:dyDescent="0.25">
      <c r="B62" s="95" t="s">
        <v>254</v>
      </c>
      <c r="C62" s="92" t="s">
        <v>10</v>
      </c>
      <c r="D62" s="92" t="s">
        <v>107</v>
      </c>
      <c r="E62" s="92"/>
      <c r="F62" s="106"/>
      <c r="G62" s="92"/>
      <c r="H62" s="104"/>
      <c r="I62" s="102" t="s">
        <v>188</v>
      </c>
    </row>
    <row r="63" spans="2:9" x14ac:dyDescent="0.25">
      <c r="B63" s="95" t="s">
        <v>255</v>
      </c>
      <c r="C63" s="92" t="s">
        <v>29</v>
      </c>
      <c r="D63" s="92" t="s">
        <v>133</v>
      </c>
      <c r="E63" s="92"/>
      <c r="F63" s="106"/>
      <c r="G63" s="92"/>
      <c r="H63" s="104"/>
      <c r="I63" s="102" t="s">
        <v>188</v>
      </c>
    </row>
    <row r="64" spans="2:9" x14ac:dyDescent="0.25">
      <c r="B64" s="95" t="s">
        <v>256</v>
      </c>
      <c r="C64" s="92" t="s">
        <v>30</v>
      </c>
      <c r="D64" s="92" t="s">
        <v>115</v>
      </c>
      <c r="E64" s="92"/>
      <c r="F64" s="106"/>
      <c r="G64" s="92"/>
      <c r="H64" s="104"/>
      <c r="I64" s="102" t="s">
        <v>188</v>
      </c>
    </row>
    <row r="65" spans="2:9" x14ac:dyDescent="0.25">
      <c r="B65" s="95" t="s">
        <v>257</v>
      </c>
      <c r="C65" s="92" t="s">
        <v>66</v>
      </c>
      <c r="D65" s="92" t="s">
        <v>147</v>
      </c>
      <c r="E65" s="92"/>
      <c r="F65" s="106"/>
      <c r="G65" s="92"/>
      <c r="H65" s="104"/>
      <c r="I65" s="102" t="s">
        <v>188</v>
      </c>
    </row>
    <row r="66" spans="2:9" x14ac:dyDescent="0.25">
      <c r="B66" s="95" t="s">
        <v>258</v>
      </c>
      <c r="C66" s="92" t="s">
        <v>38</v>
      </c>
      <c r="D66" s="92" t="s">
        <v>115</v>
      </c>
      <c r="E66" s="92"/>
      <c r="F66" s="106"/>
      <c r="G66" s="92"/>
      <c r="H66" s="104"/>
      <c r="I66" s="102" t="s">
        <v>188</v>
      </c>
    </row>
    <row r="67" spans="2:9" x14ac:dyDescent="0.25">
      <c r="B67" s="95" t="s">
        <v>259</v>
      </c>
      <c r="C67" s="92" t="s">
        <v>39</v>
      </c>
      <c r="D67" s="92" t="s">
        <v>129</v>
      </c>
      <c r="E67" s="92"/>
      <c r="F67" s="106"/>
      <c r="G67" s="92"/>
      <c r="H67" s="104"/>
      <c r="I67" s="102" t="s">
        <v>188</v>
      </c>
    </row>
    <row r="68" spans="2:9" x14ac:dyDescent="0.25">
      <c r="B68" s="95" t="s">
        <v>260</v>
      </c>
      <c r="C68" s="92" t="s">
        <v>72</v>
      </c>
      <c r="D68" s="92" t="s">
        <v>147</v>
      </c>
      <c r="E68" s="92"/>
      <c r="F68" s="106"/>
      <c r="G68" s="92"/>
      <c r="H68" s="104"/>
      <c r="I68" s="102" t="s">
        <v>188</v>
      </c>
    </row>
    <row r="69" spans="2:9" x14ac:dyDescent="0.25">
      <c r="B69" s="95" t="s">
        <v>261</v>
      </c>
      <c r="C69" s="92" t="s">
        <v>34</v>
      </c>
      <c r="D69" s="92" t="s">
        <v>115</v>
      </c>
      <c r="E69" s="92"/>
      <c r="F69" s="106"/>
      <c r="G69" s="92"/>
      <c r="H69" s="104"/>
      <c r="I69" s="102" t="s">
        <v>188</v>
      </c>
    </row>
    <row r="70" spans="2:9" x14ac:dyDescent="0.25">
      <c r="B70" s="95" t="s">
        <v>262</v>
      </c>
      <c r="C70" s="92" t="s">
        <v>40</v>
      </c>
      <c r="D70" s="92" t="s">
        <v>115</v>
      </c>
      <c r="E70" s="92"/>
      <c r="F70" s="106"/>
      <c r="G70" s="92"/>
      <c r="H70" s="104"/>
      <c r="I70" s="102" t="s">
        <v>188</v>
      </c>
    </row>
    <row r="71" spans="2:9" x14ac:dyDescent="0.25">
      <c r="B71" s="95" t="s">
        <v>263</v>
      </c>
      <c r="C71" s="92" t="s">
        <v>31</v>
      </c>
      <c r="D71" s="92" t="s">
        <v>116</v>
      </c>
      <c r="E71" s="92"/>
      <c r="F71" s="106"/>
      <c r="G71" s="92"/>
      <c r="H71" s="104"/>
      <c r="I71" s="102" t="s">
        <v>188</v>
      </c>
    </row>
    <row r="72" spans="2:9" x14ac:dyDescent="0.25">
      <c r="B72" s="95" t="s">
        <v>264</v>
      </c>
      <c r="C72" s="92" t="s">
        <v>24</v>
      </c>
      <c r="D72" s="92" t="s">
        <v>115</v>
      </c>
      <c r="E72" s="92"/>
      <c r="F72" s="106"/>
      <c r="G72" s="92"/>
      <c r="H72" s="104"/>
      <c r="I72" s="102" t="s">
        <v>188</v>
      </c>
    </row>
    <row r="73" spans="2:9" x14ac:dyDescent="0.25">
      <c r="B73" s="95" t="s">
        <v>265</v>
      </c>
      <c r="C73" s="92" t="s">
        <v>63</v>
      </c>
      <c r="D73" s="92" t="s">
        <v>147</v>
      </c>
      <c r="E73" s="92"/>
      <c r="F73" s="106"/>
      <c r="G73" s="92"/>
      <c r="H73" s="104"/>
      <c r="I73" s="102" t="s">
        <v>188</v>
      </c>
    </row>
    <row r="74" spans="2:9" x14ac:dyDescent="0.25">
      <c r="B74" s="95" t="s">
        <v>266</v>
      </c>
      <c r="C74" s="92" t="s">
        <v>44</v>
      </c>
      <c r="D74" s="92" t="s">
        <v>115</v>
      </c>
      <c r="E74" s="92"/>
      <c r="F74" s="106"/>
      <c r="G74" s="92"/>
      <c r="H74" s="104"/>
      <c r="I74" s="102" t="s">
        <v>188</v>
      </c>
    </row>
    <row r="75" spans="2:9" x14ac:dyDescent="0.25">
      <c r="B75" s="95" t="s">
        <v>267</v>
      </c>
      <c r="C75" s="92" t="s">
        <v>11</v>
      </c>
      <c r="D75" s="92" t="s">
        <v>113</v>
      </c>
      <c r="E75" s="92"/>
      <c r="F75" s="106"/>
      <c r="G75" s="92"/>
      <c r="H75" s="104"/>
      <c r="I75" s="102" t="s">
        <v>188</v>
      </c>
    </row>
    <row r="76" spans="2:9" x14ac:dyDescent="0.25">
      <c r="B76" s="95" t="s">
        <v>268</v>
      </c>
      <c r="C76" s="92" t="s">
        <v>32</v>
      </c>
      <c r="D76" s="92" t="s">
        <v>117</v>
      </c>
      <c r="E76" s="92"/>
      <c r="F76" s="106"/>
      <c r="G76" s="92"/>
      <c r="H76" s="104"/>
      <c r="I76" s="102" t="s">
        <v>188</v>
      </c>
    </row>
    <row r="77" spans="2:9" x14ac:dyDescent="0.25">
      <c r="B77" s="95" t="s">
        <v>269</v>
      </c>
      <c r="C77" s="92" t="s">
        <v>60</v>
      </c>
      <c r="D77" s="92" t="s">
        <v>147</v>
      </c>
      <c r="E77" s="92"/>
      <c r="F77" s="106"/>
      <c r="G77" s="92"/>
      <c r="H77" s="104"/>
      <c r="I77" s="102" t="s">
        <v>188</v>
      </c>
    </row>
    <row r="78" spans="2:9" x14ac:dyDescent="0.25">
      <c r="B78" s="95" t="s">
        <v>270</v>
      </c>
      <c r="C78" s="92" t="s">
        <v>45</v>
      </c>
      <c r="D78" s="92" t="s">
        <v>139</v>
      </c>
      <c r="E78" s="92"/>
      <c r="F78" s="106"/>
      <c r="G78" s="92"/>
      <c r="H78" s="104"/>
      <c r="I78" s="102" t="s">
        <v>188</v>
      </c>
    </row>
    <row r="79" spans="2:9" x14ac:dyDescent="0.25">
      <c r="B79" s="95" t="s">
        <v>271</v>
      </c>
      <c r="C79" s="92" t="s">
        <v>33</v>
      </c>
      <c r="D79" s="92" t="s">
        <v>134</v>
      </c>
      <c r="E79" s="92"/>
      <c r="F79" s="106"/>
      <c r="G79" s="92"/>
      <c r="H79" s="104"/>
      <c r="I79" s="102" t="s">
        <v>188</v>
      </c>
    </row>
    <row r="80" spans="2:9" x14ac:dyDescent="0.25">
      <c r="B80" s="95" t="s">
        <v>272</v>
      </c>
      <c r="C80" s="92" t="s">
        <v>36</v>
      </c>
      <c r="D80" s="92" t="s">
        <v>135</v>
      </c>
      <c r="E80" s="92"/>
      <c r="F80" s="106"/>
      <c r="G80" s="92"/>
      <c r="H80" s="104"/>
      <c r="I80" s="102" t="s">
        <v>188</v>
      </c>
    </row>
    <row r="81" spans="2:9" x14ac:dyDescent="0.25">
      <c r="B81" s="95" t="s">
        <v>273</v>
      </c>
      <c r="C81" s="92" t="s">
        <v>67</v>
      </c>
      <c r="D81" s="92" t="s">
        <v>147</v>
      </c>
      <c r="E81" s="92"/>
      <c r="F81" s="106"/>
      <c r="G81" s="92"/>
      <c r="H81" s="104"/>
      <c r="I81" s="102" t="s">
        <v>188</v>
      </c>
    </row>
    <row r="82" spans="2:9" x14ac:dyDescent="0.25">
      <c r="B82" s="95" t="s">
        <v>274</v>
      </c>
      <c r="C82" s="92" t="s">
        <v>35</v>
      </c>
      <c r="D82" s="92" t="s">
        <v>131</v>
      </c>
      <c r="E82" s="92"/>
      <c r="F82" s="106"/>
      <c r="G82" s="92"/>
      <c r="H82" s="104"/>
      <c r="I82" s="102" t="s">
        <v>188</v>
      </c>
    </row>
    <row r="83" spans="2:9" x14ac:dyDescent="0.25">
      <c r="B83" s="95" t="s">
        <v>275</v>
      </c>
      <c r="C83" s="92" t="s">
        <v>71</v>
      </c>
      <c r="D83" s="92" t="s">
        <v>79</v>
      </c>
      <c r="E83" s="92"/>
      <c r="F83" s="106"/>
      <c r="G83" s="92"/>
      <c r="H83" s="104"/>
      <c r="I83" s="102" t="s">
        <v>188</v>
      </c>
    </row>
    <row r="84" spans="2:9" x14ac:dyDescent="0.25">
      <c r="B84" s="95" t="s">
        <v>276</v>
      </c>
      <c r="C84" s="92" t="s">
        <v>43</v>
      </c>
      <c r="D84" s="92" t="s">
        <v>138</v>
      </c>
      <c r="E84" s="92"/>
      <c r="F84" s="106"/>
      <c r="G84" s="92"/>
      <c r="H84" s="104"/>
      <c r="I84" s="102" t="s">
        <v>188</v>
      </c>
    </row>
    <row r="85" spans="2:9" x14ac:dyDescent="0.25">
      <c r="B85" s="95" t="s">
        <v>277</v>
      </c>
      <c r="C85" s="92" t="s">
        <v>42</v>
      </c>
      <c r="D85" s="92" t="s">
        <v>137</v>
      </c>
      <c r="E85" s="92"/>
      <c r="F85" s="106"/>
      <c r="G85" s="92"/>
      <c r="H85" s="104"/>
      <c r="I85" s="102" t="s">
        <v>188</v>
      </c>
    </row>
    <row r="86" spans="2:9" x14ac:dyDescent="0.25">
      <c r="B86" s="95" t="s">
        <v>278</v>
      </c>
      <c r="C86" s="92" t="s">
        <v>37</v>
      </c>
      <c r="D86" s="92" t="s">
        <v>136</v>
      </c>
      <c r="E86" s="92"/>
      <c r="F86" s="106"/>
      <c r="G86" s="92"/>
      <c r="H86" s="104"/>
      <c r="I86" s="102" t="s">
        <v>188</v>
      </c>
    </row>
    <row r="87" spans="2:9" x14ac:dyDescent="0.25">
      <c r="B87" s="95" t="s">
        <v>279</v>
      </c>
      <c r="C87" s="92" t="s">
        <v>41</v>
      </c>
      <c r="D87" s="92" t="s">
        <v>115</v>
      </c>
      <c r="E87" s="92"/>
      <c r="F87" s="106"/>
      <c r="G87" s="92"/>
      <c r="H87" s="104"/>
      <c r="I87" s="102" t="s">
        <v>188</v>
      </c>
    </row>
    <row r="88" spans="2:9" x14ac:dyDescent="0.25">
      <c r="B88" s="95" t="s">
        <v>280</v>
      </c>
      <c r="C88" s="92" t="s">
        <v>77</v>
      </c>
      <c r="D88" s="92" t="s">
        <v>152</v>
      </c>
      <c r="E88" s="92"/>
      <c r="F88" s="106"/>
      <c r="G88" s="92"/>
      <c r="H88" s="104"/>
      <c r="I88" s="102" t="s">
        <v>188</v>
      </c>
    </row>
    <row r="89" spans="2:9" x14ac:dyDescent="0.25">
      <c r="B89" s="95" t="s">
        <v>281</v>
      </c>
      <c r="C89" s="92" t="s">
        <v>61</v>
      </c>
      <c r="D89" s="92" t="s">
        <v>147</v>
      </c>
      <c r="E89" s="92"/>
      <c r="F89" s="106"/>
      <c r="G89" s="92"/>
      <c r="H89" s="104"/>
      <c r="I89" s="102" t="s">
        <v>188</v>
      </c>
    </row>
    <row r="90" spans="2:9" x14ac:dyDescent="0.25">
      <c r="B90" s="95" t="s">
        <v>282</v>
      </c>
      <c r="C90" s="92" t="s">
        <v>75</v>
      </c>
      <c r="D90" s="92" t="s">
        <v>149</v>
      </c>
      <c r="E90" s="92"/>
      <c r="F90" s="106"/>
      <c r="G90" s="92"/>
      <c r="H90" s="104"/>
      <c r="I90" s="102" t="s">
        <v>188</v>
      </c>
    </row>
    <row r="91" spans="2:9" x14ac:dyDescent="0.25">
      <c r="B91" s="95" t="s">
        <v>283</v>
      </c>
      <c r="C91" s="92" t="s">
        <v>78</v>
      </c>
      <c r="D91" s="92" t="s">
        <v>147</v>
      </c>
      <c r="E91" s="92"/>
      <c r="F91" s="106"/>
      <c r="G91" s="92"/>
      <c r="H91" s="104"/>
      <c r="I91" s="102" t="s">
        <v>188</v>
      </c>
    </row>
    <row r="92" spans="2:9" x14ac:dyDescent="0.25">
      <c r="B92" s="95" t="s">
        <v>284</v>
      </c>
      <c r="C92" s="92" t="s">
        <v>49</v>
      </c>
      <c r="D92" s="92" t="s">
        <v>118</v>
      </c>
      <c r="E92" s="92"/>
      <c r="F92" s="106"/>
      <c r="G92" s="92"/>
      <c r="H92" s="104"/>
      <c r="I92" s="102" t="s">
        <v>188</v>
      </c>
    </row>
    <row r="93" spans="2:9" x14ac:dyDescent="0.25">
      <c r="B93" s="95" t="s">
        <v>285</v>
      </c>
      <c r="C93" s="92" t="s">
        <v>51</v>
      </c>
      <c r="D93" s="92" t="s">
        <v>142</v>
      </c>
      <c r="E93" s="92"/>
      <c r="F93" s="106"/>
      <c r="G93" s="92"/>
      <c r="H93" s="104"/>
      <c r="I93" s="102" t="s">
        <v>188</v>
      </c>
    </row>
    <row r="94" spans="2:9" x14ac:dyDescent="0.25">
      <c r="B94" s="95" t="s">
        <v>286</v>
      </c>
      <c r="C94" s="92" t="s">
        <v>13</v>
      </c>
      <c r="D94" s="92" t="s">
        <v>114</v>
      </c>
      <c r="E94" s="92"/>
      <c r="F94" s="106"/>
      <c r="G94" s="92"/>
      <c r="H94" s="104"/>
      <c r="I94" s="102" t="s">
        <v>188</v>
      </c>
    </row>
    <row r="95" spans="2:9" x14ac:dyDescent="0.25">
      <c r="B95" s="95" t="s">
        <v>287</v>
      </c>
      <c r="C95" s="92" t="s">
        <v>73</v>
      </c>
      <c r="D95" s="92" t="s">
        <v>147</v>
      </c>
      <c r="E95" s="92"/>
      <c r="F95" s="106"/>
      <c r="G95" s="92"/>
      <c r="H95" s="104"/>
      <c r="I95" s="102" t="s">
        <v>188</v>
      </c>
    </row>
    <row r="96" spans="2:9" x14ac:dyDescent="0.25">
      <c r="B96" s="95" t="s">
        <v>288</v>
      </c>
      <c r="C96" s="92" t="s">
        <v>47</v>
      </c>
      <c r="D96" s="92" t="s">
        <v>127</v>
      </c>
      <c r="E96" s="92"/>
      <c r="F96" s="106"/>
      <c r="G96" s="92"/>
      <c r="H96" s="104"/>
      <c r="I96" s="102" t="s">
        <v>188</v>
      </c>
    </row>
    <row r="97" spans="2:9" x14ac:dyDescent="0.25">
      <c r="B97" s="95" t="s">
        <v>289</v>
      </c>
      <c r="C97" s="92" t="s">
        <v>50</v>
      </c>
      <c r="D97" s="92" t="s">
        <v>141</v>
      </c>
      <c r="E97" s="92"/>
      <c r="F97" s="106"/>
      <c r="G97" s="92"/>
      <c r="H97" s="104"/>
      <c r="I97" s="102" t="s">
        <v>188</v>
      </c>
    </row>
    <row r="98" spans="2:9" x14ac:dyDescent="0.25">
      <c r="B98" s="95" t="s">
        <v>290</v>
      </c>
      <c r="C98" s="92" t="s">
        <v>12</v>
      </c>
      <c r="D98" s="92" t="s">
        <v>112</v>
      </c>
      <c r="E98" s="92"/>
      <c r="F98" s="106"/>
      <c r="G98" s="92"/>
      <c r="H98" s="104"/>
      <c r="I98" s="102" t="s">
        <v>188</v>
      </c>
    </row>
    <row r="99" spans="2:9" x14ac:dyDescent="0.25">
      <c r="B99" s="95" t="s">
        <v>291</v>
      </c>
      <c r="C99" s="92" t="s">
        <v>59</v>
      </c>
      <c r="D99" s="92" t="s">
        <v>146</v>
      </c>
      <c r="E99" s="92"/>
      <c r="F99" s="106"/>
      <c r="G99" s="92"/>
      <c r="H99" s="104"/>
      <c r="I99" s="102" t="s">
        <v>188</v>
      </c>
    </row>
    <row r="100" spans="2:9" x14ac:dyDescent="0.25">
      <c r="B100" s="95" t="s">
        <v>292</v>
      </c>
      <c r="C100" s="92" t="s">
        <v>46</v>
      </c>
      <c r="D100" s="92" t="s">
        <v>140</v>
      </c>
      <c r="E100" s="92"/>
      <c r="F100" s="106"/>
      <c r="G100" s="92"/>
      <c r="H100" s="104"/>
      <c r="I100" s="102" t="s">
        <v>188</v>
      </c>
    </row>
    <row r="101" spans="2:9" x14ac:dyDescent="0.25">
      <c r="B101" s="95" t="s">
        <v>293</v>
      </c>
      <c r="C101" s="92" t="s">
        <v>52</v>
      </c>
      <c r="D101" s="92" t="s">
        <v>143</v>
      </c>
      <c r="E101" s="92"/>
      <c r="F101" s="106"/>
      <c r="G101" s="92"/>
      <c r="H101" s="104"/>
      <c r="I101" s="102" t="s">
        <v>188</v>
      </c>
    </row>
    <row r="102" spans="2:9" x14ac:dyDescent="0.25">
      <c r="B102" s="95" t="s">
        <v>294</v>
      </c>
      <c r="C102" s="92" t="s">
        <v>48</v>
      </c>
      <c r="D102" s="92" t="s">
        <v>115</v>
      </c>
      <c r="E102" s="92"/>
      <c r="F102" s="106"/>
      <c r="G102" s="92"/>
      <c r="H102" s="104"/>
      <c r="I102" s="102" t="s">
        <v>188</v>
      </c>
    </row>
    <row r="103" spans="2:9" x14ac:dyDescent="0.25">
      <c r="B103" s="95" t="s">
        <v>295</v>
      </c>
      <c r="C103" s="92" t="s">
        <v>62</v>
      </c>
      <c r="D103" s="92" t="s">
        <v>147</v>
      </c>
      <c r="E103" s="92"/>
      <c r="F103" s="106"/>
      <c r="G103" s="92"/>
      <c r="H103" s="104"/>
      <c r="I103" s="102" t="s">
        <v>188</v>
      </c>
    </row>
    <row r="104" spans="2:9" x14ac:dyDescent="0.25">
      <c r="B104" s="95" t="s">
        <v>296</v>
      </c>
      <c r="C104" s="92" t="s">
        <v>54</v>
      </c>
      <c r="D104" s="92" t="s">
        <v>134</v>
      </c>
      <c r="E104" s="92"/>
      <c r="F104" s="106"/>
      <c r="G104" s="92"/>
      <c r="H104" s="104"/>
      <c r="I104" s="102" t="s">
        <v>188</v>
      </c>
    </row>
    <row r="105" spans="2:9" x14ac:dyDescent="0.25">
      <c r="B105" s="95" t="s">
        <v>297</v>
      </c>
      <c r="C105" s="92" t="s">
        <v>53</v>
      </c>
      <c r="D105" s="92" t="s">
        <v>115</v>
      </c>
      <c r="E105" s="92"/>
      <c r="F105" s="106"/>
      <c r="G105" s="92"/>
      <c r="H105" s="104"/>
      <c r="I105" s="102" t="s">
        <v>188</v>
      </c>
    </row>
    <row r="106" spans="2:9" x14ac:dyDescent="0.25">
      <c r="B106" s="95" t="s">
        <v>298</v>
      </c>
      <c r="C106" s="92" t="s">
        <v>64</v>
      </c>
      <c r="D106" s="92" t="s">
        <v>147</v>
      </c>
      <c r="E106" s="92"/>
      <c r="F106" s="106"/>
      <c r="G106" s="92"/>
      <c r="H106" s="104"/>
      <c r="I106" s="102" t="s">
        <v>188</v>
      </c>
    </row>
    <row r="107" spans="2:9" x14ac:dyDescent="0.25">
      <c r="B107" s="95" t="s">
        <v>299</v>
      </c>
      <c r="C107" s="92" t="s">
        <v>55</v>
      </c>
      <c r="D107" s="92" t="s">
        <v>126</v>
      </c>
      <c r="E107" s="92"/>
      <c r="F107" s="106"/>
      <c r="G107" s="92"/>
      <c r="H107" s="104"/>
      <c r="I107" s="102" t="s">
        <v>188</v>
      </c>
    </row>
    <row r="108" spans="2:9" x14ac:dyDescent="0.25">
      <c r="B108" s="95" t="s">
        <v>300</v>
      </c>
      <c r="C108" s="92" t="s">
        <v>74</v>
      </c>
      <c r="D108" s="92" t="s">
        <v>149</v>
      </c>
      <c r="E108" s="92"/>
      <c r="F108" s="106"/>
      <c r="G108" s="92"/>
      <c r="H108" s="104"/>
      <c r="I108" s="102" t="s">
        <v>188</v>
      </c>
    </row>
    <row r="109" spans="2:9" x14ac:dyDescent="0.25">
      <c r="B109" s="95" t="s">
        <v>301</v>
      </c>
      <c r="C109" s="92" t="s">
        <v>56</v>
      </c>
      <c r="D109" s="92" t="s">
        <v>144</v>
      </c>
      <c r="E109" s="92"/>
      <c r="F109" s="106"/>
      <c r="G109" s="92"/>
      <c r="H109" s="104"/>
      <c r="I109" s="102" t="s">
        <v>188</v>
      </c>
    </row>
    <row r="110" spans="2:9" x14ac:dyDescent="0.25">
      <c r="B110" s="95" t="s">
        <v>302</v>
      </c>
      <c r="C110" s="92" t="s">
        <v>58</v>
      </c>
      <c r="D110" s="92" t="s">
        <v>124</v>
      </c>
      <c r="E110" s="92"/>
      <c r="F110" s="106"/>
      <c r="G110" s="92"/>
      <c r="H110" s="104"/>
      <c r="I110" s="102" t="s">
        <v>188</v>
      </c>
    </row>
    <row r="111" spans="2:9" x14ac:dyDescent="0.25">
      <c r="B111" s="95" t="s">
        <v>303</v>
      </c>
      <c r="C111" s="92" t="s">
        <v>57</v>
      </c>
      <c r="D111" s="92" t="s">
        <v>145</v>
      </c>
      <c r="E111" s="92"/>
      <c r="F111" s="106"/>
      <c r="G111" s="92"/>
      <c r="H111" s="104"/>
      <c r="I111" s="102" t="s">
        <v>188</v>
      </c>
    </row>
    <row r="112" spans="2:9" x14ac:dyDescent="0.25">
      <c r="B112" s="95" t="s">
        <v>304</v>
      </c>
      <c r="C112" s="92" t="s">
        <v>65</v>
      </c>
      <c r="D112" s="92" t="s">
        <v>147</v>
      </c>
      <c r="E112" s="92"/>
      <c r="F112" s="106"/>
      <c r="G112" s="92"/>
      <c r="H112" s="104"/>
      <c r="I112" s="102" t="s">
        <v>188</v>
      </c>
    </row>
    <row r="113" spans="2:9" x14ac:dyDescent="0.25">
      <c r="B113" s="95" t="s">
        <v>305</v>
      </c>
      <c r="C113" s="92" t="s">
        <v>1024</v>
      </c>
      <c r="D113" s="92"/>
      <c r="E113" s="92"/>
      <c r="F113" s="106"/>
      <c r="G113" s="92"/>
      <c r="H113" s="104"/>
      <c r="I113" s="102" t="s">
        <v>188</v>
      </c>
    </row>
    <row r="114" spans="2:9" x14ac:dyDescent="0.25">
      <c r="B114" s="95" t="s">
        <v>306</v>
      </c>
      <c r="C114" s="92"/>
      <c r="D114" s="92"/>
      <c r="E114" s="92"/>
      <c r="F114" s="106"/>
      <c r="G114" s="92"/>
      <c r="H114" s="104"/>
      <c r="I114" s="102" t="s">
        <v>188</v>
      </c>
    </row>
    <row r="115" spans="2:9" x14ac:dyDescent="0.25">
      <c r="B115" s="95" t="s">
        <v>307</v>
      </c>
      <c r="C115" s="92"/>
      <c r="D115" s="92"/>
      <c r="E115" s="92"/>
      <c r="F115" s="106"/>
      <c r="G115" s="92"/>
      <c r="H115" s="104"/>
      <c r="I115" s="102" t="s">
        <v>188</v>
      </c>
    </row>
    <row r="116" spans="2:9" x14ac:dyDescent="0.25">
      <c r="B116" s="95" t="s">
        <v>308</v>
      </c>
      <c r="C116" s="92"/>
      <c r="D116" s="92"/>
      <c r="E116" s="92"/>
      <c r="F116" s="106"/>
      <c r="G116" s="92"/>
      <c r="H116" s="104"/>
      <c r="I116" s="102" t="s">
        <v>188</v>
      </c>
    </row>
    <row r="117" spans="2:9" x14ac:dyDescent="0.25">
      <c r="B117" s="95" t="s">
        <v>309</v>
      </c>
      <c r="C117" s="92"/>
      <c r="D117" s="92"/>
      <c r="E117" s="92"/>
      <c r="F117" s="106"/>
      <c r="G117" s="92"/>
      <c r="H117" s="104"/>
      <c r="I117" s="102" t="s">
        <v>188</v>
      </c>
    </row>
    <row r="118" spans="2:9" x14ac:dyDescent="0.25">
      <c r="B118" s="95" t="s">
        <v>310</v>
      </c>
      <c r="C118" s="92"/>
      <c r="D118" s="92"/>
      <c r="E118" s="92"/>
      <c r="F118" s="106"/>
      <c r="G118" s="92"/>
      <c r="H118" s="104"/>
      <c r="I118" s="102" t="s">
        <v>188</v>
      </c>
    </row>
    <row r="119" spans="2:9" x14ac:dyDescent="0.25">
      <c r="B119" s="95" t="s">
        <v>311</v>
      </c>
      <c r="C119" s="92"/>
      <c r="D119" s="92"/>
      <c r="E119" s="92"/>
      <c r="F119" s="106"/>
      <c r="G119" s="92"/>
      <c r="H119" s="104"/>
      <c r="I119" s="102" t="s">
        <v>188</v>
      </c>
    </row>
    <row r="120" spans="2:9" x14ac:dyDescent="0.25">
      <c r="B120" s="95" t="s">
        <v>312</v>
      </c>
      <c r="C120" s="92"/>
      <c r="D120" s="92"/>
      <c r="E120" s="92"/>
      <c r="F120" s="106"/>
      <c r="G120" s="92"/>
      <c r="H120" s="104"/>
      <c r="I120" s="102" t="s">
        <v>188</v>
      </c>
    </row>
    <row r="121" spans="2:9" x14ac:dyDescent="0.25">
      <c r="B121" s="95" t="s">
        <v>313</v>
      </c>
      <c r="C121" s="92"/>
      <c r="D121" s="92"/>
      <c r="E121" s="92"/>
      <c r="F121" s="106"/>
      <c r="G121" s="92"/>
      <c r="H121" s="104"/>
      <c r="I121" s="102" t="s">
        <v>188</v>
      </c>
    </row>
    <row r="122" spans="2:9" x14ac:dyDescent="0.25">
      <c r="B122" s="95" t="s">
        <v>314</v>
      </c>
      <c r="C122" s="92"/>
      <c r="D122" s="92"/>
      <c r="E122" s="92"/>
      <c r="F122" s="106"/>
      <c r="G122" s="92"/>
      <c r="H122" s="104"/>
      <c r="I122" s="102" t="s">
        <v>188</v>
      </c>
    </row>
    <row r="123" spans="2:9" x14ac:dyDescent="0.25">
      <c r="B123" s="95" t="s">
        <v>315</v>
      </c>
      <c r="C123" s="92"/>
      <c r="D123" s="92"/>
      <c r="E123" s="92"/>
      <c r="F123" s="106"/>
      <c r="G123" s="92"/>
      <c r="H123" s="104"/>
      <c r="I123" s="102" t="s">
        <v>188</v>
      </c>
    </row>
    <row r="124" spans="2:9" x14ac:dyDescent="0.25">
      <c r="B124" s="95" t="s">
        <v>316</v>
      </c>
      <c r="C124" s="92"/>
      <c r="D124" s="92"/>
      <c r="E124" s="92"/>
      <c r="F124" s="106"/>
      <c r="G124" s="92"/>
      <c r="H124" s="104"/>
      <c r="I124" s="102" t="s">
        <v>188</v>
      </c>
    </row>
    <row r="125" spans="2:9" x14ac:dyDescent="0.25">
      <c r="B125" s="95" t="s">
        <v>317</v>
      </c>
      <c r="C125" s="92"/>
      <c r="D125" s="92"/>
      <c r="E125" s="92"/>
      <c r="F125" s="106"/>
      <c r="G125" s="92"/>
      <c r="H125" s="104"/>
      <c r="I125" s="102" t="s">
        <v>188</v>
      </c>
    </row>
    <row r="126" spans="2:9" x14ac:dyDescent="0.25">
      <c r="B126" s="95" t="s">
        <v>318</v>
      </c>
      <c r="C126" s="92"/>
      <c r="D126" s="92"/>
      <c r="E126" s="92"/>
      <c r="F126" s="106"/>
      <c r="G126" s="92"/>
      <c r="H126" s="104"/>
      <c r="I126" s="102" t="s">
        <v>188</v>
      </c>
    </row>
    <row r="127" spans="2:9" x14ac:dyDescent="0.25">
      <c r="B127" s="95" t="s">
        <v>319</v>
      </c>
      <c r="C127" s="92"/>
      <c r="D127" s="92"/>
      <c r="E127" s="92"/>
      <c r="F127" s="106"/>
      <c r="G127" s="92"/>
      <c r="H127" s="104"/>
      <c r="I127" s="102" t="s">
        <v>188</v>
      </c>
    </row>
    <row r="128" spans="2:9" x14ac:dyDescent="0.25">
      <c r="B128" s="95" t="s">
        <v>320</v>
      </c>
      <c r="C128" s="92"/>
      <c r="D128" s="92"/>
      <c r="E128" s="92"/>
      <c r="F128" s="106"/>
      <c r="G128" s="92"/>
      <c r="H128" s="104"/>
      <c r="I128" s="102" t="s">
        <v>188</v>
      </c>
    </row>
    <row r="129" spans="2:9" x14ac:dyDescent="0.25">
      <c r="B129" s="95" t="s">
        <v>321</v>
      </c>
      <c r="C129" s="92"/>
      <c r="D129" s="92"/>
      <c r="E129" s="92"/>
      <c r="F129" s="106"/>
      <c r="G129" s="92"/>
      <c r="H129" s="104"/>
      <c r="I129" s="102" t="s">
        <v>188</v>
      </c>
    </row>
    <row r="130" spans="2:9" x14ac:dyDescent="0.25">
      <c r="B130" s="95" t="s">
        <v>322</v>
      </c>
      <c r="C130" s="92"/>
      <c r="D130" s="92"/>
      <c r="E130" s="92"/>
      <c r="F130" s="106"/>
      <c r="G130" s="92"/>
      <c r="H130" s="104"/>
      <c r="I130" s="102" t="s">
        <v>188</v>
      </c>
    </row>
    <row r="131" spans="2:9" x14ac:dyDescent="0.25">
      <c r="B131" s="95" t="s">
        <v>323</v>
      </c>
      <c r="C131" s="92"/>
      <c r="D131" s="92"/>
      <c r="E131" s="92"/>
      <c r="F131" s="106"/>
      <c r="G131" s="92"/>
      <c r="H131" s="104"/>
      <c r="I131" s="102" t="s">
        <v>188</v>
      </c>
    </row>
    <row r="132" spans="2:9" x14ac:dyDescent="0.25">
      <c r="B132" s="95" t="s">
        <v>324</v>
      </c>
      <c r="C132" s="92"/>
      <c r="D132" s="92"/>
      <c r="E132" s="92"/>
      <c r="F132" s="106"/>
      <c r="G132" s="92"/>
      <c r="H132" s="104"/>
      <c r="I132" s="102" t="s">
        <v>188</v>
      </c>
    </row>
    <row r="133" spans="2:9" x14ac:dyDescent="0.25">
      <c r="B133" s="95" t="s">
        <v>325</v>
      </c>
      <c r="C133" s="92"/>
      <c r="D133" s="92"/>
      <c r="E133" s="92"/>
      <c r="F133" s="106"/>
      <c r="G133" s="92"/>
      <c r="H133" s="104"/>
      <c r="I133" s="102" t="s">
        <v>188</v>
      </c>
    </row>
    <row r="134" spans="2:9" x14ac:dyDescent="0.25">
      <c r="B134" s="95" t="s">
        <v>326</v>
      </c>
      <c r="C134" s="92"/>
      <c r="D134" s="92"/>
      <c r="E134" s="92"/>
      <c r="F134" s="106"/>
      <c r="G134" s="92"/>
      <c r="H134" s="104"/>
      <c r="I134" s="102" t="s">
        <v>188</v>
      </c>
    </row>
    <row r="135" spans="2:9" x14ac:dyDescent="0.25">
      <c r="B135" s="95" t="s">
        <v>327</v>
      </c>
      <c r="C135" s="92"/>
      <c r="D135" s="92"/>
      <c r="E135" s="92"/>
      <c r="F135" s="106"/>
      <c r="G135" s="92"/>
      <c r="H135" s="104"/>
      <c r="I135" s="102" t="s">
        <v>188</v>
      </c>
    </row>
    <row r="136" spans="2:9" x14ac:dyDescent="0.25">
      <c r="B136" s="95" t="s">
        <v>328</v>
      </c>
      <c r="C136" s="92"/>
      <c r="D136" s="92"/>
      <c r="E136" s="92"/>
      <c r="F136" s="106"/>
      <c r="G136" s="92"/>
      <c r="H136" s="104"/>
      <c r="I136" s="102" t="s">
        <v>188</v>
      </c>
    </row>
    <row r="137" spans="2:9" x14ac:dyDescent="0.25">
      <c r="B137" s="95" t="s">
        <v>329</v>
      </c>
      <c r="C137" s="92"/>
      <c r="D137" s="92"/>
      <c r="E137" s="92"/>
      <c r="F137" s="106"/>
      <c r="G137" s="92"/>
      <c r="H137" s="104"/>
      <c r="I137" s="102" t="s">
        <v>188</v>
      </c>
    </row>
    <row r="138" spans="2:9" x14ac:dyDescent="0.25">
      <c r="B138" s="95" t="s">
        <v>330</v>
      </c>
      <c r="C138" s="92"/>
      <c r="D138" s="92"/>
      <c r="E138" s="92"/>
      <c r="F138" s="106"/>
      <c r="G138" s="92"/>
      <c r="H138" s="104"/>
      <c r="I138" s="102" t="s">
        <v>188</v>
      </c>
    </row>
    <row r="139" spans="2:9" x14ac:dyDescent="0.25">
      <c r="B139" s="95" t="s">
        <v>331</v>
      </c>
      <c r="C139" s="92"/>
      <c r="D139" s="92"/>
      <c r="E139" s="92"/>
      <c r="F139" s="106"/>
      <c r="G139" s="92"/>
      <c r="H139" s="104"/>
      <c r="I139" s="102" t="s">
        <v>188</v>
      </c>
    </row>
    <row r="140" spans="2:9" x14ac:dyDescent="0.25">
      <c r="B140" s="95" t="s">
        <v>332</v>
      </c>
      <c r="C140" s="92"/>
      <c r="D140" s="92"/>
      <c r="E140" s="92"/>
      <c r="F140" s="106"/>
      <c r="G140" s="92"/>
      <c r="H140" s="104"/>
      <c r="I140" s="102" t="s">
        <v>188</v>
      </c>
    </row>
    <row r="141" spans="2:9" x14ac:dyDescent="0.25">
      <c r="B141" s="95" t="s">
        <v>333</v>
      </c>
      <c r="C141" s="92"/>
      <c r="D141" s="92"/>
      <c r="E141" s="92"/>
      <c r="F141" s="106"/>
      <c r="G141" s="92"/>
      <c r="H141" s="104"/>
      <c r="I141" s="102" t="s">
        <v>188</v>
      </c>
    </row>
    <row r="142" spans="2:9" x14ac:dyDescent="0.25">
      <c r="B142" s="95" t="s">
        <v>334</v>
      </c>
      <c r="C142" s="92"/>
      <c r="D142" s="92"/>
      <c r="E142" s="92"/>
      <c r="F142" s="106"/>
      <c r="G142" s="92"/>
      <c r="H142" s="104"/>
      <c r="I142" s="102" t="s">
        <v>188</v>
      </c>
    </row>
    <row r="143" spans="2:9" x14ac:dyDescent="0.25">
      <c r="B143" s="95" t="s">
        <v>335</v>
      </c>
      <c r="C143" s="92"/>
      <c r="D143" s="92"/>
      <c r="E143" s="92"/>
      <c r="F143" s="106"/>
      <c r="G143" s="92"/>
      <c r="H143" s="104"/>
      <c r="I143" s="102" t="s">
        <v>188</v>
      </c>
    </row>
    <row r="144" spans="2:9" x14ac:dyDescent="0.25">
      <c r="B144" s="95" t="s">
        <v>336</v>
      </c>
      <c r="C144" s="92"/>
      <c r="D144" s="92"/>
      <c r="E144" s="92"/>
      <c r="F144" s="106"/>
      <c r="G144" s="92"/>
      <c r="H144" s="104"/>
      <c r="I144" s="102" t="s">
        <v>188</v>
      </c>
    </row>
    <row r="145" spans="2:9" x14ac:dyDescent="0.25">
      <c r="B145" s="95" t="s">
        <v>337</v>
      </c>
      <c r="C145" s="92"/>
      <c r="D145" s="92"/>
      <c r="E145" s="92"/>
      <c r="F145" s="106"/>
      <c r="G145" s="92"/>
      <c r="H145" s="104"/>
      <c r="I145" s="102" t="s">
        <v>188</v>
      </c>
    </row>
    <row r="146" spans="2:9" x14ac:dyDescent="0.25">
      <c r="B146" s="95" t="s">
        <v>338</v>
      </c>
      <c r="C146" s="92"/>
      <c r="D146" s="92"/>
      <c r="E146" s="92"/>
      <c r="F146" s="106"/>
      <c r="G146" s="92"/>
      <c r="H146" s="104"/>
      <c r="I146" s="102" t="s">
        <v>188</v>
      </c>
    </row>
    <row r="147" spans="2:9" x14ac:dyDescent="0.25">
      <c r="B147" s="95" t="s">
        <v>339</v>
      </c>
      <c r="C147" s="92"/>
      <c r="D147" s="92"/>
      <c r="E147" s="92"/>
      <c r="F147" s="106"/>
      <c r="G147" s="92"/>
      <c r="H147" s="104"/>
      <c r="I147" s="102" t="s">
        <v>188</v>
      </c>
    </row>
    <row r="148" spans="2:9" x14ac:dyDescent="0.25">
      <c r="B148" s="95" t="s">
        <v>340</v>
      </c>
      <c r="C148" s="92"/>
      <c r="D148" s="92"/>
      <c r="E148" s="92"/>
      <c r="F148" s="106"/>
      <c r="G148" s="92"/>
      <c r="H148" s="104"/>
      <c r="I148" s="102" t="s">
        <v>188</v>
      </c>
    </row>
    <row r="149" spans="2:9" x14ac:dyDescent="0.25">
      <c r="B149" s="95" t="s">
        <v>341</v>
      </c>
      <c r="C149" s="92"/>
      <c r="D149" s="92"/>
      <c r="E149" s="92"/>
      <c r="F149" s="106"/>
      <c r="G149" s="92"/>
      <c r="H149" s="104"/>
      <c r="I149" s="102" t="s">
        <v>188</v>
      </c>
    </row>
    <row r="150" spans="2:9" x14ac:dyDescent="0.25">
      <c r="B150" s="95" t="s">
        <v>342</v>
      </c>
      <c r="C150" s="92"/>
      <c r="D150" s="92"/>
      <c r="E150" s="92"/>
      <c r="F150" s="106"/>
      <c r="G150" s="92"/>
      <c r="H150" s="104"/>
      <c r="I150" s="102" t="s">
        <v>188</v>
      </c>
    </row>
    <row r="151" spans="2:9" x14ac:dyDescent="0.25">
      <c r="B151" s="95" t="s">
        <v>343</v>
      </c>
      <c r="C151" s="92"/>
      <c r="D151" s="92"/>
      <c r="E151" s="92"/>
      <c r="F151" s="106"/>
      <c r="G151" s="92"/>
      <c r="H151" s="104"/>
      <c r="I151" s="102" t="s">
        <v>188</v>
      </c>
    </row>
    <row r="152" spans="2:9" x14ac:dyDescent="0.25">
      <c r="B152" s="95" t="s">
        <v>344</v>
      </c>
      <c r="C152" s="92"/>
      <c r="D152" s="92"/>
      <c r="E152" s="92"/>
      <c r="F152" s="106"/>
      <c r="G152" s="92"/>
      <c r="H152" s="104"/>
      <c r="I152" s="102" t="s">
        <v>188</v>
      </c>
    </row>
    <row r="153" spans="2:9" x14ac:dyDescent="0.25">
      <c r="B153" s="95" t="s">
        <v>345</v>
      </c>
      <c r="C153" s="92"/>
      <c r="D153" s="92"/>
      <c r="E153" s="92"/>
      <c r="F153" s="106"/>
      <c r="G153" s="92"/>
      <c r="H153" s="104"/>
      <c r="I153" s="102" t="s">
        <v>188</v>
      </c>
    </row>
    <row r="154" spans="2:9" x14ac:dyDescent="0.25">
      <c r="B154" s="95" t="s">
        <v>346</v>
      </c>
      <c r="C154" s="92"/>
      <c r="D154" s="92"/>
      <c r="E154" s="92"/>
      <c r="F154" s="106"/>
      <c r="G154" s="92"/>
      <c r="H154" s="104"/>
      <c r="I154" s="102" t="s">
        <v>188</v>
      </c>
    </row>
    <row r="155" spans="2:9" x14ac:dyDescent="0.25">
      <c r="B155" s="95" t="s">
        <v>347</v>
      </c>
      <c r="C155" s="92"/>
      <c r="D155" s="92"/>
      <c r="E155" s="92"/>
      <c r="F155" s="106"/>
      <c r="G155" s="92"/>
      <c r="H155" s="104"/>
      <c r="I155" s="102" t="s">
        <v>188</v>
      </c>
    </row>
    <row r="156" spans="2:9" x14ac:dyDescent="0.25">
      <c r="B156" s="95" t="s">
        <v>348</v>
      </c>
      <c r="C156" s="92"/>
      <c r="D156" s="92"/>
      <c r="E156" s="92"/>
      <c r="F156" s="106"/>
      <c r="G156" s="92"/>
      <c r="H156" s="104"/>
      <c r="I156" s="102" t="s">
        <v>188</v>
      </c>
    </row>
    <row r="157" spans="2:9" x14ac:dyDescent="0.25">
      <c r="B157" s="95" t="s">
        <v>349</v>
      </c>
      <c r="C157" s="92"/>
      <c r="D157" s="92"/>
      <c r="E157" s="92"/>
      <c r="F157" s="106"/>
      <c r="G157" s="92"/>
      <c r="H157" s="104"/>
      <c r="I157" s="102" t="s">
        <v>188</v>
      </c>
    </row>
    <row r="158" spans="2:9" x14ac:dyDescent="0.25">
      <c r="B158" s="95" t="s">
        <v>350</v>
      </c>
      <c r="C158" s="92"/>
      <c r="D158" s="92"/>
      <c r="E158" s="92"/>
      <c r="F158" s="106"/>
      <c r="G158" s="92"/>
      <c r="H158" s="104"/>
      <c r="I158" s="102" t="s">
        <v>188</v>
      </c>
    </row>
    <row r="159" spans="2:9" x14ac:dyDescent="0.25">
      <c r="B159" s="95" t="s">
        <v>351</v>
      </c>
      <c r="C159" s="92"/>
      <c r="D159" s="92"/>
      <c r="E159" s="92"/>
      <c r="F159" s="106"/>
      <c r="G159" s="92"/>
      <c r="H159" s="104"/>
      <c r="I159" s="102" t="s">
        <v>188</v>
      </c>
    </row>
    <row r="160" spans="2:9" x14ac:dyDescent="0.25">
      <c r="B160" s="95" t="s">
        <v>352</v>
      </c>
      <c r="C160" s="92"/>
      <c r="D160" s="92"/>
      <c r="E160" s="92"/>
      <c r="F160" s="106"/>
      <c r="G160" s="92"/>
      <c r="H160" s="104"/>
      <c r="I160" s="102" t="s">
        <v>188</v>
      </c>
    </row>
    <row r="161" spans="2:9" x14ac:dyDescent="0.25">
      <c r="B161" s="95" t="s">
        <v>353</v>
      </c>
      <c r="C161" s="92"/>
      <c r="D161" s="92"/>
      <c r="E161" s="92"/>
      <c r="F161" s="106"/>
      <c r="G161" s="92"/>
      <c r="H161" s="104"/>
      <c r="I161" s="102" t="s">
        <v>188</v>
      </c>
    </row>
    <row r="162" spans="2:9" x14ac:dyDescent="0.25">
      <c r="B162" s="95" t="s">
        <v>354</v>
      </c>
      <c r="C162" s="92"/>
      <c r="D162" s="92"/>
      <c r="E162" s="92"/>
      <c r="F162" s="106"/>
      <c r="G162" s="92"/>
      <c r="H162" s="104"/>
      <c r="I162" s="102" t="s">
        <v>188</v>
      </c>
    </row>
    <row r="163" spans="2:9" x14ac:dyDescent="0.25">
      <c r="B163" s="95" t="s">
        <v>355</v>
      </c>
      <c r="C163" s="92"/>
      <c r="D163" s="92"/>
      <c r="E163" s="92"/>
      <c r="F163" s="106"/>
      <c r="G163" s="92"/>
      <c r="H163" s="104"/>
      <c r="I163" s="102" t="s">
        <v>188</v>
      </c>
    </row>
    <row r="164" spans="2:9" x14ac:dyDescent="0.25">
      <c r="B164" s="95" t="s">
        <v>356</v>
      </c>
      <c r="C164" s="92"/>
      <c r="D164" s="92"/>
      <c r="E164" s="92"/>
      <c r="F164" s="106"/>
      <c r="G164" s="92"/>
      <c r="H164" s="104"/>
      <c r="I164" s="102" t="s">
        <v>188</v>
      </c>
    </row>
    <row r="165" spans="2:9" x14ac:dyDescent="0.25">
      <c r="B165" s="95" t="s">
        <v>357</v>
      </c>
      <c r="C165" s="92"/>
      <c r="D165" s="92"/>
      <c r="E165" s="92"/>
      <c r="F165" s="106"/>
      <c r="G165" s="92"/>
      <c r="H165" s="104"/>
      <c r="I165" s="102" t="s">
        <v>188</v>
      </c>
    </row>
    <row r="166" spans="2:9" x14ac:dyDescent="0.25">
      <c r="B166" s="95" t="s">
        <v>358</v>
      </c>
      <c r="C166" s="92"/>
      <c r="D166" s="92"/>
      <c r="E166" s="92"/>
      <c r="F166" s="106"/>
      <c r="G166" s="92"/>
      <c r="H166" s="104"/>
      <c r="I166" s="102" t="s">
        <v>188</v>
      </c>
    </row>
    <row r="167" spans="2:9" x14ac:dyDescent="0.25">
      <c r="B167" s="95" t="s">
        <v>359</v>
      </c>
      <c r="C167" s="92"/>
      <c r="D167" s="92"/>
      <c r="E167" s="92"/>
      <c r="F167" s="106"/>
      <c r="G167" s="92"/>
      <c r="H167" s="104"/>
      <c r="I167" s="102" t="s">
        <v>188</v>
      </c>
    </row>
    <row r="168" spans="2:9" x14ac:dyDescent="0.25">
      <c r="B168" s="95" t="s">
        <v>360</v>
      </c>
      <c r="C168" s="92"/>
      <c r="D168" s="92"/>
      <c r="E168" s="92"/>
      <c r="F168" s="106"/>
      <c r="G168" s="92"/>
      <c r="H168" s="104"/>
      <c r="I168" s="102" t="s">
        <v>188</v>
      </c>
    </row>
    <row r="169" spans="2:9" x14ac:dyDescent="0.25">
      <c r="B169" s="95" t="s">
        <v>361</v>
      </c>
      <c r="C169" s="92"/>
      <c r="D169" s="92"/>
      <c r="E169" s="92"/>
      <c r="F169" s="106"/>
      <c r="G169" s="92"/>
      <c r="H169" s="104"/>
      <c r="I169" s="102" t="s">
        <v>188</v>
      </c>
    </row>
    <row r="170" spans="2:9" x14ac:dyDescent="0.25">
      <c r="B170" s="95" t="s">
        <v>362</v>
      </c>
      <c r="C170" s="92"/>
      <c r="D170" s="92"/>
      <c r="E170" s="92"/>
      <c r="F170" s="106"/>
      <c r="G170" s="92"/>
      <c r="H170" s="104"/>
      <c r="I170" s="102" t="s">
        <v>188</v>
      </c>
    </row>
    <row r="171" spans="2:9" x14ac:dyDescent="0.25">
      <c r="B171" s="95" t="s">
        <v>363</v>
      </c>
      <c r="C171" s="92"/>
      <c r="D171" s="92"/>
      <c r="E171" s="92"/>
      <c r="F171" s="106"/>
      <c r="G171" s="92"/>
      <c r="H171" s="104"/>
      <c r="I171" s="102" t="s">
        <v>188</v>
      </c>
    </row>
    <row r="172" spans="2:9" x14ac:dyDescent="0.25">
      <c r="B172" s="95" t="s">
        <v>364</v>
      </c>
      <c r="C172" s="92"/>
      <c r="D172" s="92"/>
      <c r="E172" s="92"/>
      <c r="F172" s="106"/>
      <c r="G172" s="92"/>
      <c r="H172" s="104"/>
      <c r="I172" s="102" t="s">
        <v>188</v>
      </c>
    </row>
    <row r="173" spans="2:9" x14ac:dyDescent="0.25">
      <c r="B173" s="95" t="s">
        <v>365</v>
      </c>
      <c r="C173" s="92"/>
      <c r="D173" s="92"/>
      <c r="E173" s="92"/>
      <c r="F173" s="106"/>
      <c r="G173" s="92"/>
      <c r="H173" s="104"/>
      <c r="I173" s="102" t="s">
        <v>188</v>
      </c>
    </row>
    <row r="174" spans="2:9" x14ac:dyDescent="0.25">
      <c r="B174" s="95" t="s">
        <v>366</v>
      </c>
      <c r="C174" s="92"/>
      <c r="D174" s="92"/>
      <c r="E174" s="92"/>
      <c r="F174" s="106"/>
      <c r="G174" s="92"/>
      <c r="H174" s="104"/>
      <c r="I174" s="102" t="s">
        <v>188</v>
      </c>
    </row>
    <row r="175" spans="2:9" x14ac:dyDescent="0.25">
      <c r="B175" s="95" t="s">
        <v>367</v>
      </c>
      <c r="C175" s="92"/>
      <c r="D175" s="92"/>
      <c r="E175" s="92"/>
      <c r="F175" s="106"/>
      <c r="G175" s="92"/>
      <c r="H175" s="104"/>
      <c r="I175" s="102" t="s">
        <v>188</v>
      </c>
    </row>
    <row r="176" spans="2:9" x14ac:dyDescent="0.25">
      <c r="B176" s="95" t="s">
        <v>368</v>
      </c>
      <c r="C176" s="92"/>
      <c r="D176" s="92"/>
      <c r="E176" s="92"/>
      <c r="F176" s="106"/>
      <c r="G176" s="92"/>
      <c r="H176" s="104"/>
      <c r="I176" s="102" t="s">
        <v>188</v>
      </c>
    </row>
    <row r="177" spans="2:9" x14ac:dyDescent="0.25">
      <c r="B177" s="95" t="s">
        <v>369</v>
      </c>
      <c r="C177" s="92"/>
      <c r="D177" s="92"/>
      <c r="E177" s="92"/>
      <c r="F177" s="106"/>
      <c r="G177" s="92"/>
      <c r="H177" s="104"/>
      <c r="I177" s="102" t="s">
        <v>188</v>
      </c>
    </row>
    <row r="178" spans="2:9" x14ac:dyDescent="0.25">
      <c r="B178" s="95" t="s">
        <v>370</v>
      </c>
      <c r="C178" s="92"/>
      <c r="D178" s="92"/>
      <c r="E178" s="92"/>
      <c r="F178" s="106"/>
      <c r="G178" s="92"/>
      <c r="H178" s="104"/>
      <c r="I178" s="102" t="s">
        <v>188</v>
      </c>
    </row>
    <row r="179" spans="2:9" x14ac:dyDescent="0.25">
      <c r="B179" s="95" t="s">
        <v>371</v>
      </c>
      <c r="C179" s="92"/>
      <c r="D179" s="92"/>
      <c r="E179" s="92"/>
      <c r="F179" s="106"/>
      <c r="G179" s="92"/>
      <c r="H179" s="104"/>
      <c r="I179" s="102" t="s">
        <v>188</v>
      </c>
    </row>
    <row r="180" spans="2:9" x14ac:dyDescent="0.25">
      <c r="B180" s="95" t="s">
        <v>372</v>
      </c>
      <c r="C180" s="92"/>
      <c r="D180" s="92"/>
      <c r="E180" s="92"/>
      <c r="F180" s="106"/>
      <c r="G180" s="92"/>
      <c r="H180" s="104"/>
      <c r="I180" s="102" t="s">
        <v>188</v>
      </c>
    </row>
    <row r="181" spans="2:9" x14ac:dyDescent="0.25">
      <c r="B181" s="95" t="s">
        <v>373</v>
      </c>
      <c r="C181" s="92"/>
      <c r="D181" s="92"/>
      <c r="E181" s="92"/>
      <c r="F181" s="106"/>
      <c r="G181" s="92"/>
      <c r="H181" s="104"/>
      <c r="I181" s="102" t="s">
        <v>188</v>
      </c>
    </row>
    <row r="182" spans="2:9" x14ac:dyDescent="0.25">
      <c r="B182" s="95" t="s">
        <v>374</v>
      </c>
      <c r="C182" s="92"/>
      <c r="D182" s="92"/>
      <c r="E182" s="92"/>
      <c r="F182" s="106"/>
      <c r="G182" s="92"/>
      <c r="H182" s="104"/>
      <c r="I182" s="102" t="s">
        <v>188</v>
      </c>
    </row>
    <row r="183" spans="2:9" x14ac:dyDescent="0.25">
      <c r="B183" s="95" t="s">
        <v>375</v>
      </c>
      <c r="C183" s="92"/>
      <c r="D183" s="92"/>
      <c r="E183" s="92"/>
      <c r="F183" s="106"/>
      <c r="G183" s="92"/>
      <c r="H183" s="104"/>
      <c r="I183" s="102" t="s">
        <v>188</v>
      </c>
    </row>
    <row r="184" spans="2:9" x14ac:dyDescent="0.25">
      <c r="B184" s="95" t="s">
        <v>376</v>
      </c>
      <c r="C184" s="92"/>
      <c r="D184" s="92"/>
      <c r="E184" s="92"/>
      <c r="F184" s="106"/>
      <c r="G184" s="92"/>
      <c r="H184" s="104"/>
      <c r="I184" s="102" t="s">
        <v>188</v>
      </c>
    </row>
    <row r="185" spans="2:9" x14ac:dyDescent="0.25">
      <c r="B185" s="95" t="s">
        <v>377</v>
      </c>
      <c r="C185" s="92"/>
      <c r="D185" s="92"/>
      <c r="E185" s="92"/>
      <c r="F185" s="106"/>
      <c r="G185" s="92"/>
      <c r="H185" s="104"/>
      <c r="I185" s="102" t="s">
        <v>188</v>
      </c>
    </row>
    <row r="186" spans="2:9" x14ac:dyDescent="0.25">
      <c r="B186" s="95" t="s">
        <v>378</v>
      </c>
      <c r="C186" s="92"/>
      <c r="D186" s="92"/>
      <c r="E186" s="92"/>
      <c r="F186" s="106"/>
      <c r="G186" s="92"/>
      <c r="H186" s="104"/>
      <c r="I186" s="102" t="s">
        <v>188</v>
      </c>
    </row>
    <row r="187" spans="2:9" x14ac:dyDescent="0.25">
      <c r="B187" s="95" t="s">
        <v>379</v>
      </c>
      <c r="C187" s="92"/>
      <c r="D187" s="92"/>
      <c r="E187" s="92"/>
      <c r="F187" s="106"/>
      <c r="G187" s="92"/>
      <c r="H187" s="104"/>
      <c r="I187" s="102" t="s">
        <v>188</v>
      </c>
    </row>
    <row r="188" spans="2:9" x14ac:dyDescent="0.25">
      <c r="B188" s="95" t="s">
        <v>380</v>
      </c>
      <c r="C188" s="92"/>
      <c r="D188" s="92"/>
      <c r="E188" s="92"/>
      <c r="F188" s="106"/>
      <c r="G188" s="92"/>
      <c r="H188" s="104"/>
      <c r="I188" s="102" t="s">
        <v>188</v>
      </c>
    </row>
    <row r="189" spans="2:9" x14ac:dyDescent="0.25">
      <c r="B189" s="95" t="s">
        <v>381</v>
      </c>
      <c r="C189" s="92"/>
      <c r="D189" s="92"/>
      <c r="E189" s="92"/>
      <c r="F189" s="106"/>
      <c r="G189" s="92"/>
      <c r="H189" s="104"/>
      <c r="I189" s="102" t="s">
        <v>188</v>
      </c>
    </row>
    <row r="190" spans="2:9" x14ac:dyDescent="0.25">
      <c r="B190" s="95" t="s">
        <v>382</v>
      </c>
      <c r="C190" s="92"/>
      <c r="D190" s="92"/>
      <c r="E190" s="92"/>
      <c r="F190" s="106"/>
      <c r="G190" s="92"/>
      <c r="H190" s="104"/>
      <c r="I190" s="102" t="s">
        <v>188</v>
      </c>
    </row>
    <row r="191" spans="2:9" x14ac:dyDescent="0.25">
      <c r="B191" s="95" t="s">
        <v>383</v>
      </c>
      <c r="C191" s="92"/>
      <c r="D191" s="92"/>
      <c r="E191" s="92"/>
      <c r="F191" s="106"/>
      <c r="G191" s="92"/>
      <c r="H191" s="104"/>
      <c r="I191" s="102" t="s">
        <v>188</v>
      </c>
    </row>
    <row r="192" spans="2:9" x14ac:dyDescent="0.25">
      <c r="B192" s="95" t="s">
        <v>384</v>
      </c>
      <c r="C192" s="92"/>
      <c r="D192" s="92"/>
      <c r="E192" s="92"/>
      <c r="F192" s="106"/>
      <c r="G192" s="92"/>
      <c r="H192" s="104"/>
      <c r="I192" s="102" t="s">
        <v>188</v>
      </c>
    </row>
    <row r="193" spans="2:9" x14ac:dyDescent="0.25">
      <c r="B193" s="95" t="s">
        <v>385</v>
      </c>
      <c r="C193" s="92"/>
      <c r="D193" s="92"/>
      <c r="E193" s="92"/>
      <c r="F193" s="106"/>
      <c r="G193" s="92"/>
      <c r="H193" s="104"/>
      <c r="I193" s="102" t="s">
        <v>188</v>
      </c>
    </row>
    <row r="194" spans="2:9" x14ac:dyDescent="0.25">
      <c r="B194" s="95" t="s">
        <v>386</v>
      </c>
      <c r="C194" s="92"/>
      <c r="D194" s="92"/>
      <c r="E194" s="92"/>
      <c r="F194" s="106"/>
      <c r="G194" s="92"/>
      <c r="H194" s="104"/>
      <c r="I194" s="102" t="s">
        <v>188</v>
      </c>
    </row>
    <row r="195" spans="2:9" x14ac:dyDescent="0.25">
      <c r="B195" s="95" t="s">
        <v>387</v>
      </c>
      <c r="C195" s="92"/>
      <c r="D195" s="92"/>
      <c r="E195" s="92"/>
      <c r="F195" s="106"/>
      <c r="G195" s="92"/>
      <c r="H195" s="104"/>
      <c r="I195" s="102" t="s">
        <v>188</v>
      </c>
    </row>
    <row r="196" spans="2:9" x14ac:dyDescent="0.25">
      <c r="B196" s="95" t="s">
        <v>388</v>
      </c>
      <c r="C196" s="92"/>
      <c r="D196" s="92"/>
      <c r="E196" s="92"/>
      <c r="F196" s="106"/>
      <c r="G196" s="92"/>
      <c r="H196" s="104"/>
      <c r="I196" s="102" t="s">
        <v>188</v>
      </c>
    </row>
    <row r="197" spans="2:9" x14ac:dyDescent="0.25">
      <c r="B197" s="95" t="s">
        <v>389</v>
      </c>
      <c r="C197" s="92"/>
      <c r="D197" s="92"/>
      <c r="E197" s="92"/>
      <c r="F197" s="106"/>
      <c r="G197" s="92"/>
      <c r="H197" s="104"/>
      <c r="I197" s="102" t="s">
        <v>188</v>
      </c>
    </row>
    <row r="198" spans="2:9" x14ac:dyDescent="0.25">
      <c r="B198" s="95" t="s">
        <v>390</v>
      </c>
      <c r="C198" s="92"/>
      <c r="D198" s="92"/>
      <c r="E198" s="92"/>
      <c r="F198" s="106"/>
      <c r="G198" s="92"/>
      <c r="H198" s="104"/>
      <c r="I198" s="102" t="s">
        <v>188</v>
      </c>
    </row>
    <row r="199" spans="2:9" x14ac:dyDescent="0.25">
      <c r="B199" s="95" t="s">
        <v>391</v>
      </c>
      <c r="C199" s="92"/>
      <c r="D199" s="92"/>
      <c r="E199" s="92"/>
      <c r="F199" s="106"/>
      <c r="G199" s="92"/>
      <c r="H199" s="104"/>
      <c r="I199" s="102" t="s">
        <v>188</v>
      </c>
    </row>
    <row r="200" spans="2:9" x14ac:dyDescent="0.25">
      <c r="B200" s="95" t="s">
        <v>392</v>
      </c>
      <c r="C200" s="92"/>
      <c r="D200" s="92"/>
      <c r="E200" s="92"/>
      <c r="F200" s="106"/>
      <c r="G200" s="92"/>
      <c r="H200" s="104"/>
      <c r="I200" s="102" t="s">
        <v>188</v>
      </c>
    </row>
    <row r="201" spans="2:9" x14ac:dyDescent="0.25">
      <c r="B201" s="95" t="s">
        <v>393</v>
      </c>
      <c r="C201" s="92"/>
      <c r="D201" s="92"/>
      <c r="E201" s="92"/>
      <c r="F201" s="106"/>
      <c r="G201" s="92"/>
      <c r="H201" s="104"/>
      <c r="I201" s="102" t="s">
        <v>188</v>
      </c>
    </row>
    <row r="202" spans="2:9" x14ac:dyDescent="0.25">
      <c r="B202" s="95" t="s">
        <v>394</v>
      </c>
      <c r="C202" s="92"/>
      <c r="D202" s="92"/>
      <c r="E202" s="92"/>
      <c r="F202" s="106"/>
      <c r="G202" s="92"/>
      <c r="H202" s="104"/>
      <c r="I202" s="102" t="s">
        <v>188</v>
      </c>
    </row>
    <row r="203" spans="2:9" x14ac:dyDescent="0.25">
      <c r="B203" s="95" t="s">
        <v>395</v>
      </c>
      <c r="C203" s="92"/>
      <c r="D203" s="92"/>
      <c r="E203" s="92"/>
      <c r="F203" s="106"/>
      <c r="G203" s="92"/>
      <c r="H203" s="104"/>
      <c r="I203" s="102" t="s">
        <v>188</v>
      </c>
    </row>
    <row r="204" spans="2:9" x14ac:dyDescent="0.25">
      <c r="B204" s="95" t="s">
        <v>396</v>
      </c>
      <c r="C204" s="92"/>
      <c r="D204" s="92"/>
      <c r="E204" s="92"/>
      <c r="F204" s="106"/>
      <c r="G204" s="92"/>
      <c r="H204" s="104"/>
      <c r="I204" s="102" t="s">
        <v>188</v>
      </c>
    </row>
    <row r="205" spans="2:9" x14ac:dyDescent="0.25">
      <c r="B205" s="95" t="s">
        <v>397</v>
      </c>
      <c r="C205" s="92"/>
      <c r="D205" s="92"/>
      <c r="E205" s="92"/>
      <c r="F205" s="106"/>
      <c r="G205" s="92"/>
      <c r="H205" s="104"/>
      <c r="I205" s="102" t="s">
        <v>188</v>
      </c>
    </row>
    <row r="206" spans="2:9" x14ac:dyDescent="0.25">
      <c r="B206" s="95" t="s">
        <v>398</v>
      </c>
      <c r="C206" s="92"/>
      <c r="D206" s="92"/>
      <c r="E206" s="92"/>
      <c r="F206" s="106"/>
      <c r="G206" s="92"/>
      <c r="H206" s="104"/>
      <c r="I206" s="102" t="s">
        <v>188</v>
      </c>
    </row>
    <row r="207" spans="2:9" x14ac:dyDescent="0.25">
      <c r="B207" s="95" t="s">
        <v>399</v>
      </c>
      <c r="C207" s="92"/>
      <c r="D207" s="92"/>
      <c r="E207" s="92"/>
      <c r="F207" s="106"/>
      <c r="G207" s="92"/>
      <c r="H207" s="104"/>
      <c r="I207" s="102" t="s">
        <v>188</v>
      </c>
    </row>
    <row r="208" spans="2:9" x14ac:dyDescent="0.25">
      <c r="B208" s="95" t="s">
        <v>400</v>
      </c>
      <c r="C208" s="92"/>
      <c r="D208" s="92"/>
      <c r="E208" s="92"/>
      <c r="F208" s="106"/>
      <c r="G208" s="92"/>
      <c r="H208" s="104"/>
      <c r="I208" s="102" t="s">
        <v>188</v>
      </c>
    </row>
    <row r="209" spans="2:9" x14ac:dyDescent="0.25">
      <c r="B209" s="95" t="s">
        <v>401</v>
      </c>
      <c r="C209" s="92"/>
      <c r="D209" s="92"/>
      <c r="E209" s="92"/>
      <c r="F209" s="106"/>
      <c r="G209" s="92"/>
      <c r="H209" s="104"/>
      <c r="I209" s="102" t="s">
        <v>188</v>
      </c>
    </row>
    <row r="210" spans="2:9" x14ac:dyDescent="0.25">
      <c r="B210" s="95" t="s">
        <v>402</v>
      </c>
      <c r="C210" s="92"/>
      <c r="D210" s="92"/>
      <c r="E210" s="92"/>
      <c r="F210" s="106"/>
      <c r="G210" s="92"/>
      <c r="H210" s="104"/>
      <c r="I210" s="102" t="s">
        <v>188</v>
      </c>
    </row>
    <row r="211" spans="2:9" x14ac:dyDescent="0.25">
      <c r="B211" s="95" t="s">
        <v>403</v>
      </c>
      <c r="C211" s="92"/>
      <c r="D211" s="92"/>
      <c r="E211" s="92"/>
      <c r="F211" s="106"/>
      <c r="G211" s="92"/>
      <c r="H211" s="104"/>
      <c r="I211" s="102" t="s">
        <v>188</v>
      </c>
    </row>
    <row r="212" spans="2:9" x14ac:dyDescent="0.25">
      <c r="B212" s="95" t="s">
        <v>404</v>
      </c>
      <c r="C212" s="92"/>
      <c r="D212" s="92"/>
      <c r="E212" s="92"/>
      <c r="F212" s="106"/>
      <c r="G212" s="92"/>
      <c r="H212" s="104"/>
      <c r="I212" s="102" t="s">
        <v>188</v>
      </c>
    </row>
    <row r="213" spans="2:9" x14ac:dyDescent="0.25">
      <c r="B213" s="95" t="s">
        <v>405</v>
      </c>
      <c r="C213" s="92"/>
      <c r="D213" s="92"/>
      <c r="E213" s="92"/>
      <c r="F213" s="106"/>
      <c r="G213" s="92"/>
      <c r="H213" s="104"/>
      <c r="I213" s="102" t="s">
        <v>188</v>
      </c>
    </row>
    <row r="214" spans="2:9" x14ac:dyDescent="0.25">
      <c r="B214" s="95" t="s">
        <v>406</v>
      </c>
      <c r="C214" s="92"/>
      <c r="D214" s="92"/>
      <c r="E214" s="92"/>
      <c r="F214" s="106"/>
      <c r="G214" s="92"/>
      <c r="H214" s="104"/>
      <c r="I214" s="102" t="s">
        <v>188</v>
      </c>
    </row>
    <row r="215" spans="2:9" x14ac:dyDescent="0.25">
      <c r="B215" s="95" t="s">
        <v>407</v>
      </c>
      <c r="C215" s="92"/>
      <c r="D215" s="92"/>
      <c r="E215" s="92"/>
      <c r="F215" s="106"/>
      <c r="G215" s="92"/>
      <c r="H215" s="104"/>
      <c r="I215" s="102" t="s">
        <v>188</v>
      </c>
    </row>
    <row r="216" spans="2:9" x14ac:dyDescent="0.25">
      <c r="B216" s="95" t="s">
        <v>408</v>
      </c>
      <c r="C216" s="92"/>
      <c r="D216" s="92"/>
      <c r="E216" s="92"/>
      <c r="F216" s="106"/>
      <c r="G216" s="92"/>
      <c r="H216" s="104"/>
      <c r="I216" s="102" t="s">
        <v>188</v>
      </c>
    </row>
    <row r="217" spans="2:9" x14ac:dyDescent="0.25">
      <c r="B217" s="95" t="s">
        <v>409</v>
      </c>
      <c r="C217" s="92"/>
      <c r="D217" s="92"/>
      <c r="E217" s="92"/>
      <c r="F217" s="106"/>
      <c r="G217" s="92"/>
      <c r="H217" s="104"/>
      <c r="I217" s="102" t="s">
        <v>188</v>
      </c>
    </row>
    <row r="218" spans="2:9" x14ac:dyDescent="0.25">
      <c r="B218" s="95" t="s">
        <v>410</v>
      </c>
      <c r="C218" s="92"/>
      <c r="D218" s="92"/>
      <c r="E218" s="92"/>
      <c r="F218" s="106"/>
      <c r="G218" s="92"/>
      <c r="H218" s="104"/>
      <c r="I218" s="102" t="s">
        <v>188</v>
      </c>
    </row>
    <row r="219" spans="2:9" x14ac:dyDescent="0.25">
      <c r="B219" s="95" t="s">
        <v>411</v>
      </c>
      <c r="C219" s="92"/>
      <c r="D219" s="92"/>
      <c r="E219" s="92"/>
      <c r="F219" s="106"/>
      <c r="G219" s="92"/>
      <c r="H219" s="104"/>
      <c r="I219" s="102" t="s">
        <v>188</v>
      </c>
    </row>
    <row r="220" spans="2:9" x14ac:dyDescent="0.25">
      <c r="B220" s="95" t="s">
        <v>412</v>
      </c>
      <c r="C220" s="92"/>
      <c r="D220" s="92"/>
      <c r="E220" s="92"/>
      <c r="F220" s="106"/>
      <c r="G220" s="92"/>
      <c r="H220" s="104"/>
      <c r="I220" s="102" t="s">
        <v>188</v>
      </c>
    </row>
    <row r="221" spans="2:9" x14ac:dyDescent="0.25">
      <c r="B221" s="95" t="s">
        <v>413</v>
      </c>
      <c r="C221" s="92"/>
      <c r="D221" s="92"/>
      <c r="E221" s="92"/>
      <c r="F221" s="106"/>
      <c r="G221" s="92"/>
      <c r="H221" s="104"/>
      <c r="I221" s="102" t="s">
        <v>188</v>
      </c>
    </row>
    <row r="222" spans="2:9" x14ac:dyDescent="0.25">
      <c r="B222" s="95" t="s">
        <v>414</v>
      </c>
      <c r="C222" s="92"/>
      <c r="D222" s="92"/>
      <c r="E222" s="92"/>
      <c r="F222" s="106"/>
      <c r="G222" s="92"/>
      <c r="H222" s="104"/>
      <c r="I222" s="102" t="s">
        <v>188</v>
      </c>
    </row>
    <row r="223" spans="2:9" x14ac:dyDescent="0.25">
      <c r="B223" s="95" t="s">
        <v>415</v>
      </c>
      <c r="C223" s="92"/>
      <c r="D223" s="92"/>
      <c r="E223" s="92"/>
      <c r="F223" s="106"/>
      <c r="G223" s="92"/>
      <c r="H223" s="104"/>
      <c r="I223" s="102" t="s">
        <v>188</v>
      </c>
    </row>
    <row r="224" spans="2:9" x14ac:dyDescent="0.25">
      <c r="B224" s="95" t="s">
        <v>416</v>
      </c>
      <c r="C224" s="92"/>
      <c r="D224" s="92"/>
      <c r="E224" s="92"/>
      <c r="F224" s="106"/>
      <c r="G224" s="92"/>
      <c r="H224" s="104"/>
      <c r="I224" s="102" t="s">
        <v>188</v>
      </c>
    </row>
    <row r="225" spans="2:9" x14ac:dyDescent="0.25">
      <c r="B225" s="95" t="s">
        <v>417</v>
      </c>
      <c r="C225" s="92"/>
      <c r="D225" s="92"/>
      <c r="E225" s="92"/>
      <c r="F225" s="106"/>
      <c r="G225" s="92"/>
      <c r="H225" s="104"/>
      <c r="I225" s="102" t="s">
        <v>188</v>
      </c>
    </row>
    <row r="226" spans="2:9" x14ac:dyDescent="0.25">
      <c r="B226" s="95" t="s">
        <v>418</v>
      </c>
      <c r="C226" s="92"/>
      <c r="D226" s="92"/>
      <c r="E226" s="92"/>
      <c r="F226" s="106"/>
      <c r="G226" s="92"/>
      <c r="H226" s="104"/>
      <c r="I226" s="102" t="s">
        <v>188</v>
      </c>
    </row>
    <row r="227" spans="2:9" x14ac:dyDescent="0.25">
      <c r="B227" s="95" t="s">
        <v>419</v>
      </c>
      <c r="C227" s="92"/>
      <c r="D227" s="92"/>
      <c r="E227" s="92"/>
      <c r="F227" s="106"/>
      <c r="G227" s="92"/>
      <c r="H227" s="104"/>
      <c r="I227" s="102" t="s">
        <v>188</v>
      </c>
    </row>
    <row r="228" spans="2:9" x14ac:dyDescent="0.25">
      <c r="B228" s="95" t="s">
        <v>420</v>
      </c>
      <c r="C228" s="92"/>
      <c r="D228" s="92"/>
      <c r="E228" s="92"/>
      <c r="F228" s="106"/>
      <c r="G228" s="92"/>
      <c r="H228" s="104"/>
      <c r="I228" s="102" t="s">
        <v>188</v>
      </c>
    </row>
    <row r="229" spans="2:9" x14ac:dyDescent="0.25">
      <c r="B229" s="95" t="s">
        <v>421</v>
      </c>
      <c r="C229" s="92"/>
      <c r="D229" s="92"/>
      <c r="E229" s="92"/>
      <c r="F229" s="106"/>
      <c r="G229" s="92"/>
      <c r="H229" s="104"/>
      <c r="I229" s="102" t="s">
        <v>188</v>
      </c>
    </row>
    <row r="230" spans="2:9" x14ac:dyDescent="0.25">
      <c r="B230" s="95" t="s">
        <v>422</v>
      </c>
      <c r="C230" s="92"/>
      <c r="D230" s="92"/>
      <c r="E230" s="92"/>
      <c r="F230" s="106"/>
      <c r="G230" s="92"/>
      <c r="H230" s="104"/>
      <c r="I230" s="102" t="s">
        <v>188</v>
      </c>
    </row>
    <row r="231" spans="2:9" x14ac:dyDescent="0.25">
      <c r="B231" s="95" t="s">
        <v>423</v>
      </c>
      <c r="C231" s="92"/>
      <c r="D231" s="92"/>
      <c r="E231" s="92"/>
      <c r="F231" s="106"/>
      <c r="G231" s="92"/>
      <c r="H231" s="104"/>
      <c r="I231" s="102" t="s">
        <v>188</v>
      </c>
    </row>
    <row r="232" spans="2:9" x14ac:dyDescent="0.25">
      <c r="B232" s="95" t="s">
        <v>424</v>
      </c>
      <c r="C232" s="92"/>
      <c r="D232" s="92"/>
      <c r="E232" s="92"/>
      <c r="F232" s="106"/>
      <c r="G232" s="92"/>
      <c r="H232" s="104"/>
      <c r="I232" s="102" t="s">
        <v>188</v>
      </c>
    </row>
    <row r="233" spans="2:9" x14ac:dyDescent="0.25">
      <c r="B233" s="95" t="s">
        <v>425</v>
      </c>
      <c r="C233" s="92"/>
      <c r="D233" s="92"/>
      <c r="E233" s="92"/>
      <c r="F233" s="106"/>
      <c r="G233" s="92"/>
      <c r="H233" s="104"/>
      <c r="I233" s="102" t="s">
        <v>188</v>
      </c>
    </row>
    <row r="234" spans="2:9" x14ac:dyDescent="0.25">
      <c r="B234" s="95" t="s">
        <v>426</v>
      </c>
      <c r="C234" s="92"/>
      <c r="D234" s="92"/>
      <c r="E234" s="92"/>
      <c r="F234" s="106"/>
      <c r="G234" s="92"/>
      <c r="H234" s="104"/>
      <c r="I234" s="102" t="s">
        <v>188</v>
      </c>
    </row>
    <row r="235" spans="2:9" x14ac:dyDescent="0.25">
      <c r="B235" s="95" t="s">
        <v>427</v>
      </c>
      <c r="C235" s="92"/>
      <c r="D235" s="92"/>
      <c r="E235" s="92"/>
      <c r="F235" s="106"/>
      <c r="G235" s="92"/>
      <c r="H235" s="104"/>
      <c r="I235" s="102" t="s">
        <v>188</v>
      </c>
    </row>
    <row r="236" spans="2:9" x14ac:dyDescent="0.25">
      <c r="B236" s="95" t="s">
        <v>428</v>
      </c>
      <c r="C236" s="92"/>
      <c r="D236" s="92"/>
      <c r="E236" s="92"/>
      <c r="F236" s="106"/>
      <c r="G236" s="92"/>
      <c r="H236" s="104"/>
      <c r="I236" s="102" t="s">
        <v>188</v>
      </c>
    </row>
    <row r="237" spans="2:9" x14ac:dyDescent="0.25">
      <c r="B237" s="95" t="s">
        <v>429</v>
      </c>
      <c r="C237" s="92"/>
      <c r="D237" s="92"/>
      <c r="E237" s="92"/>
      <c r="F237" s="106"/>
      <c r="G237" s="92"/>
      <c r="H237" s="104"/>
      <c r="I237" s="102" t="s">
        <v>188</v>
      </c>
    </row>
    <row r="238" spans="2:9" x14ac:dyDescent="0.25">
      <c r="B238" s="95" t="s">
        <v>430</v>
      </c>
      <c r="C238" s="92"/>
      <c r="D238" s="92"/>
      <c r="E238" s="92"/>
      <c r="F238" s="106"/>
      <c r="G238" s="92"/>
      <c r="H238" s="104"/>
      <c r="I238" s="102" t="s">
        <v>188</v>
      </c>
    </row>
    <row r="239" spans="2:9" x14ac:dyDescent="0.25">
      <c r="B239" s="95" t="s">
        <v>431</v>
      </c>
      <c r="C239" s="92"/>
      <c r="D239" s="92"/>
      <c r="E239" s="92"/>
      <c r="F239" s="106"/>
      <c r="G239" s="92"/>
      <c r="H239" s="104"/>
      <c r="I239" s="102" t="s">
        <v>188</v>
      </c>
    </row>
    <row r="240" spans="2:9" x14ac:dyDescent="0.25">
      <c r="B240" s="95" t="s">
        <v>432</v>
      </c>
      <c r="C240" s="92"/>
      <c r="D240" s="92"/>
      <c r="E240" s="92"/>
      <c r="F240" s="106"/>
      <c r="G240" s="92"/>
      <c r="H240" s="104"/>
      <c r="I240" s="102" t="s">
        <v>188</v>
      </c>
    </row>
    <row r="241" spans="2:9" x14ac:dyDescent="0.25">
      <c r="B241" s="95" t="s">
        <v>433</v>
      </c>
      <c r="C241" s="92"/>
      <c r="D241" s="92"/>
      <c r="E241" s="92"/>
      <c r="F241" s="106"/>
      <c r="G241" s="92"/>
      <c r="H241" s="104"/>
      <c r="I241" s="102" t="s">
        <v>188</v>
      </c>
    </row>
    <row r="242" spans="2:9" x14ac:dyDescent="0.25">
      <c r="B242" s="95" t="s">
        <v>434</v>
      </c>
      <c r="C242" s="92"/>
      <c r="D242" s="92"/>
      <c r="E242" s="92"/>
      <c r="F242" s="106"/>
      <c r="G242" s="92"/>
      <c r="H242" s="104"/>
      <c r="I242" s="102" t="s">
        <v>188</v>
      </c>
    </row>
    <row r="243" spans="2:9" x14ac:dyDescent="0.25">
      <c r="B243" s="95" t="s">
        <v>435</v>
      </c>
      <c r="C243" s="92"/>
      <c r="D243" s="92"/>
      <c r="E243" s="92"/>
      <c r="F243" s="106"/>
      <c r="G243" s="92"/>
      <c r="H243" s="104"/>
      <c r="I243" s="102" t="s">
        <v>188</v>
      </c>
    </row>
    <row r="244" spans="2:9" x14ac:dyDescent="0.25">
      <c r="B244" s="95" t="s">
        <v>436</v>
      </c>
      <c r="C244" s="92"/>
      <c r="D244" s="92"/>
      <c r="E244" s="92"/>
      <c r="F244" s="106"/>
      <c r="G244" s="92"/>
      <c r="H244" s="104"/>
      <c r="I244" s="102" t="s">
        <v>188</v>
      </c>
    </row>
    <row r="245" spans="2:9" x14ac:dyDescent="0.25">
      <c r="B245" s="95" t="s">
        <v>437</v>
      </c>
      <c r="C245" s="92"/>
      <c r="D245" s="92"/>
      <c r="E245" s="92"/>
      <c r="F245" s="106"/>
      <c r="G245" s="92"/>
      <c r="H245" s="104"/>
      <c r="I245" s="102" t="s">
        <v>188</v>
      </c>
    </row>
    <row r="246" spans="2:9" x14ac:dyDescent="0.25">
      <c r="B246" s="95" t="s">
        <v>438</v>
      </c>
      <c r="C246" s="92"/>
      <c r="D246" s="92"/>
      <c r="E246" s="92"/>
      <c r="F246" s="106"/>
      <c r="G246" s="92"/>
      <c r="H246" s="104"/>
      <c r="I246" s="102" t="s">
        <v>188</v>
      </c>
    </row>
    <row r="247" spans="2:9" x14ac:dyDescent="0.25">
      <c r="B247" s="95" t="s">
        <v>439</v>
      </c>
      <c r="C247" s="92"/>
      <c r="D247" s="92"/>
      <c r="E247" s="92"/>
      <c r="F247" s="106"/>
      <c r="G247" s="92"/>
      <c r="H247" s="104"/>
      <c r="I247" s="102" t="s">
        <v>188</v>
      </c>
    </row>
    <row r="248" spans="2:9" x14ac:dyDescent="0.25">
      <c r="B248" s="95" t="s">
        <v>440</v>
      </c>
      <c r="C248" s="92"/>
      <c r="D248" s="92"/>
      <c r="E248" s="92"/>
      <c r="F248" s="106"/>
      <c r="G248" s="92"/>
      <c r="H248" s="104"/>
      <c r="I248" s="102" t="s">
        <v>188</v>
      </c>
    </row>
    <row r="249" spans="2:9" x14ac:dyDescent="0.25">
      <c r="B249" s="95" t="s">
        <v>441</v>
      </c>
      <c r="C249" s="92"/>
      <c r="D249" s="92"/>
      <c r="E249" s="92"/>
      <c r="F249" s="106"/>
      <c r="G249" s="92"/>
      <c r="H249" s="104"/>
      <c r="I249" s="102" t="s">
        <v>188</v>
      </c>
    </row>
    <row r="250" spans="2:9" x14ac:dyDescent="0.25">
      <c r="B250" s="95" t="s">
        <v>442</v>
      </c>
      <c r="C250" s="92"/>
      <c r="D250" s="92"/>
      <c r="E250" s="92"/>
      <c r="F250" s="106"/>
      <c r="G250" s="92"/>
      <c r="H250" s="104"/>
      <c r="I250" s="102" t="s">
        <v>188</v>
      </c>
    </row>
    <row r="251" spans="2:9" x14ac:dyDescent="0.25">
      <c r="B251" s="95" t="s">
        <v>443</v>
      </c>
      <c r="C251" s="92"/>
      <c r="D251" s="92"/>
      <c r="E251" s="92"/>
      <c r="F251" s="106"/>
      <c r="G251" s="92"/>
      <c r="H251" s="104"/>
      <c r="I251" s="102" t="s">
        <v>188</v>
      </c>
    </row>
    <row r="252" spans="2:9" x14ac:dyDescent="0.25">
      <c r="B252" s="95" t="s">
        <v>444</v>
      </c>
      <c r="C252" s="92"/>
      <c r="D252" s="92"/>
      <c r="E252" s="92"/>
      <c r="F252" s="106"/>
      <c r="G252" s="92"/>
      <c r="H252" s="104"/>
      <c r="I252" s="102" t="s">
        <v>188</v>
      </c>
    </row>
    <row r="253" spans="2:9" x14ac:dyDescent="0.25">
      <c r="B253" s="95" t="s">
        <v>445</v>
      </c>
      <c r="C253" s="92"/>
      <c r="D253" s="92"/>
      <c r="E253" s="92"/>
      <c r="F253" s="106"/>
      <c r="G253" s="92"/>
      <c r="H253" s="104"/>
      <c r="I253" s="102" t="s">
        <v>188</v>
      </c>
    </row>
    <row r="254" spans="2:9" x14ac:dyDescent="0.25">
      <c r="B254" s="95" t="s">
        <v>446</v>
      </c>
      <c r="C254" s="92"/>
      <c r="D254" s="92"/>
      <c r="E254" s="92"/>
      <c r="F254" s="106"/>
      <c r="G254" s="92"/>
      <c r="H254" s="104"/>
      <c r="I254" s="102" t="s">
        <v>188</v>
      </c>
    </row>
    <row r="255" spans="2:9" x14ac:dyDescent="0.25">
      <c r="B255" s="95" t="s">
        <v>447</v>
      </c>
      <c r="C255" s="92"/>
      <c r="D255" s="92"/>
      <c r="E255" s="92"/>
      <c r="F255" s="106"/>
      <c r="G255" s="92"/>
      <c r="H255" s="104"/>
      <c r="I255" s="102" t="s">
        <v>188</v>
      </c>
    </row>
    <row r="256" spans="2:9" x14ac:dyDescent="0.25">
      <c r="B256" s="95" t="s">
        <v>448</v>
      </c>
      <c r="C256" s="92"/>
      <c r="D256" s="92"/>
      <c r="E256" s="92"/>
      <c r="F256" s="106"/>
      <c r="G256" s="92"/>
      <c r="H256" s="104"/>
      <c r="I256" s="102" t="s">
        <v>188</v>
      </c>
    </row>
    <row r="257" spans="2:9" x14ac:dyDescent="0.25">
      <c r="B257" s="95" t="s">
        <v>449</v>
      </c>
      <c r="C257" s="92"/>
      <c r="D257" s="92"/>
      <c r="E257" s="92"/>
      <c r="F257" s="106"/>
      <c r="G257" s="92"/>
      <c r="H257" s="104"/>
      <c r="I257" s="102" t="s">
        <v>188</v>
      </c>
    </row>
    <row r="258" spans="2:9" x14ac:dyDescent="0.25">
      <c r="B258" s="95" t="s">
        <v>450</v>
      </c>
      <c r="C258" s="92"/>
      <c r="D258" s="92"/>
      <c r="E258" s="92"/>
      <c r="F258" s="106"/>
      <c r="G258" s="92"/>
      <c r="H258" s="104"/>
      <c r="I258" s="102" t="s">
        <v>188</v>
      </c>
    </row>
    <row r="259" spans="2:9" x14ac:dyDescent="0.25">
      <c r="B259" s="95" t="s">
        <v>451</v>
      </c>
      <c r="C259" s="92"/>
      <c r="D259" s="92"/>
      <c r="E259" s="92"/>
      <c r="F259" s="106"/>
      <c r="G259" s="92"/>
      <c r="H259" s="104"/>
      <c r="I259" s="102" t="s">
        <v>188</v>
      </c>
    </row>
    <row r="260" spans="2:9" x14ac:dyDescent="0.25">
      <c r="B260" s="95" t="s">
        <v>452</v>
      </c>
      <c r="C260" s="92"/>
      <c r="D260" s="92"/>
      <c r="E260" s="92"/>
      <c r="F260" s="106"/>
      <c r="G260" s="92"/>
      <c r="H260" s="104"/>
      <c r="I260" s="102" t="s">
        <v>188</v>
      </c>
    </row>
    <row r="261" spans="2:9" x14ac:dyDescent="0.25">
      <c r="B261" s="95" t="s">
        <v>453</v>
      </c>
      <c r="C261" s="92"/>
      <c r="D261" s="92"/>
      <c r="E261" s="92"/>
      <c r="F261" s="106"/>
      <c r="G261" s="92"/>
      <c r="H261" s="104"/>
      <c r="I261" s="102" t="s">
        <v>188</v>
      </c>
    </row>
    <row r="262" spans="2:9" x14ac:dyDescent="0.25">
      <c r="B262" s="95" t="s">
        <v>454</v>
      </c>
      <c r="C262" s="92"/>
      <c r="D262" s="92"/>
      <c r="E262" s="92"/>
      <c r="F262" s="106"/>
      <c r="G262" s="92"/>
      <c r="H262" s="104"/>
      <c r="I262" s="102" t="s">
        <v>188</v>
      </c>
    </row>
    <row r="263" spans="2:9" x14ac:dyDescent="0.25">
      <c r="B263" s="95" t="s">
        <v>455</v>
      </c>
      <c r="C263" s="92"/>
      <c r="D263" s="92"/>
      <c r="E263" s="92"/>
      <c r="F263" s="106"/>
      <c r="G263" s="92"/>
      <c r="H263" s="104"/>
      <c r="I263" s="102" t="s">
        <v>188</v>
      </c>
    </row>
    <row r="264" spans="2:9" x14ac:dyDescent="0.25">
      <c r="B264" s="95" t="s">
        <v>456</v>
      </c>
      <c r="C264" s="92"/>
      <c r="D264" s="92"/>
      <c r="E264" s="92"/>
      <c r="F264" s="106"/>
      <c r="G264" s="92"/>
      <c r="H264" s="104"/>
      <c r="I264" s="102" t="s">
        <v>188</v>
      </c>
    </row>
    <row r="265" spans="2:9" x14ac:dyDescent="0.25">
      <c r="B265" s="95" t="s">
        <v>457</v>
      </c>
      <c r="C265" s="92"/>
      <c r="D265" s="92"/>
      <c r="E265" s="92"/>
      <c r="F265" s="106"/>
      <c r="G265" s="92"/>
      <c r="H265" s="104"/>
      <c r="I265" s="102" t="s">
        <v>188</v>
      </c>
    </row>
    <row r="266" spans="2:9" x14ac:dyDescent="0.25">
      <c r="B266" s="95" t="s">
        <v>458</v>
      </c>
      <c r="C266" s="92"/>
      <c r="D266" s="92"/>
      <c r="E266" s="92"/>
      <c r="F266" s="106"/>
      <c r="G266" s="92"/>
      <c r="H266" s="104"/>
      <c r="I266" s="102" t="s">
        <v>188</v>
      </c>
    </row>
    <row r="267" spans="2:9" x14ac:dyDescent="0.25">
      <c r="B267" s="95" t="s">
        <v>459</v>
      </c>
      <c r="C267" s="92"/>
      <c r="D267" s="92"/>
      <c r="E267" s="92"/>
      <c r="F267" s="106"/>
      <c r="G267" s="92"/>
      <c r="H267" s="104"/>
      <c r="I267" s="102" t="s">
        <v>188</v>
      </c>
    </row>
    <row r="268" spans="2:9" x14ac:dyDescent="0.25">
      <c r="B268" s="95" t="s">
        <v>460</v>
      </c>
      <c r="C268" s="92"/>
      <c r="D268" s="92"/>
      <c r="E268" s="92"/>
      <c r="F268" s="106"/>
      <c r="G268" s="92"/>
      <c r="H268" s="104"/>
      <c r="I268" s="102" t="s">
        <v>188</v>
      </c>
    </row>
    <row r="269" spans="2:9" x14ac:dyDescent="0.25">
      <c r="B269" s="95" t="s">
        <v>461</v>
      </c>
      <c r="C269" s="92"/>
      <c r="D269" s="92"/>
      <c r="E269" s="92"/>
      <c r="F269" s="106"/>
      <c r="G269" s="92"/>
      <c r="H269" s="104"/>
      <c r="I269" s="102" t="s">
        <v>188</v>
      </c>
    </row>
    <row r="270" spans="2:9" x14ac:dyDescent="0.25">
      <c r="B270" s="95" t="s">
        <v>462</v>
      </c>
      <c r="C270" s="92"/>
      <c r="D270" s="92"/>
      <c r="E270" s="92"/>
      <c r="F270" s="106"/>
      <c r="G270" s="92"/>
      <c r="H270" s="104"/>
      <c r="I270" s="102" t="s">
        <v>188</v>
      </c>
    </row>
    <row r="271" spans="2:9" x14ac:dyDescent="0.25">
      <c r="B271" s="95" t="s">
        <v>463</v>
      </c>
      <c r="C271" s="92"/>
      <c r="D271" s="92"/>
      <c r="E271" s="92"/>
      <c r="F271" s="106"/>
      <c r="G271" s="92"/>
      <c r="H271" s="104"/>
      <c r="I271" s="102" t="s">
        <v>188</v>
      </c>
    </row>
    <row r="272" spans="2:9" x14ac:dyDescent="0.25">
      <c r="B272" s="95" t="s">
        <v>464</v>
      </c>
      <c r="C272" s="92"/>
      <c r="D272" s="92"/>
      <c r="E272" s="92"/>
      <c r="F272" s="106"/>
      <c r="G272" s="92"/>
      <c r="H272" s="104"/>
      <c r="I272" s="102" t="s">
        <v>188</v>
      </c>
    </row>
    <row r="273" spans="2:9" x14ac:dyDescent="0.25">
      <c r="B273" s="95" t="s">
        <v>465</v>
      </c>
      <c r="C273" s="92"/>
      <c r="D273" s="92"/>
      <c r="E273" s="92"/>
      <c r="F273" s="106"/>
      <c r="G273" s="92"/>
      <c r="H273" s="104"/>
      <c r="I273" s="102" t="s">
        <v>188</v>
      </c>
    </row>
    <row r="274" spans="2:9" x14ac:dyDescent="0.25">
      <c r="B274" s="95" t="s">
        <v>466</v>
      </c>
      <c r="C274" s="92"/>
      <c r="D274" s="92"/>
      <c r="E274" s="92"/>
      <c r="F274" s="106"/>
      <c r="G274" s="92"/>
      <c r="H274" s="104"/>
      <c r="I274" s="102" t="s">
        <v>188</v>
      </c>
    </row>
    <row r="275" spans="2:9" x14ac:dyDescent="0.25">
      <c r="B275" s="95" t="s">
        <v>467</v>
      </c>
      <c r="C275" s="92"/>
      <c r="D275" s="92"/>
      <c r="E275" s="92"/>
      <c r="F275" s="106"/>
      <c r="G275" s="92"/>
      <c r="H275" s="104"/>
      <c r="I275" s="102" t="s">
        <v>188</v>
      </c>
    </row>
    <row r="276" spans="2:9" x14ac:dyDescent="0.25">
      <c r="B276" s="95" t="s">
        <v>468</v>
      </c>
      <c r="C276" s="92"/>
      <c r="D276" s="92"/>
      <c r="E276" s="92"/>
      <c r="F276" s="106"/>
      <c r="G276" s="92"/>
      <c r="H276" s="104"/>
      <c r="I276" s="102" t="s">
        <v>188</v>
      </c>
    </row>
    <row r="277" spans="2:9" x14ac:dyDescent="0.25">
      <c r="B277" s="95" t="s">
        <v>469</v>
      </c>
      <c r="C277" s="92"/>
      <c r="D277" s="92"/>
      <c r="E277" s="92"/>
      <c r="F277" s="106"/>
      <c r="G277" s="92"/>
      <c r="H277" s="104"/>
      <c r="I277" s="102" t="s">
        <v>188</v>
      </c>
    </row>
    <row r="278" spans="2:9" x14ac:dyDescent="0.25">
      <c r="B278" s="95" t="s">
        <v>470</v>
      </c>
      <c r="C278" s="92"/>
      <c r="D278" s="92"/>
      <c r="E278" s="92"/>
      <c r="F278" s="106"/>
      <c r="G278" s="92"/>
      <c r="H278" s="104"/>
      <c r="I278" s="102" t="s">
        <v>188</v>
      </c>
    </row>
    <row r="279" spans="2:9" x14ac:dyDescent="0.25">
      <c r="B279" s="95" t="s">
        <v>471</v>
      </c>
      <c r="C279" s="92"/>
      <c r="D279" s="92"/>
      <c r="E279" s="92"/>
      <c r="F279" s="106"/>
      <c r="G279" s="92"/>
      <c r="H279" s="104"/>
      <c r="I279" s="102" t="s">
        <v>188</v>
      </c>
    </row>
    <row r="280" spans="2:9" x14ac:dyDescent="0.25">
      <c r="B280" s="95" t="s">
        <v>472</v>
      </c>
      <c r="C280" s="92"/>
      <c r="D280" s="92"/>
      <c r="E280" s="92"/>
      <c r="F280" s="106"/>
      <c r="G280" s="92"/>
      <c r="H280" s="104"/>
      <c r="I280" s="102" t="s">
        <v>188</v>
      </c>
    </row>
    <row r="281" spans="2:9" x14ac:dyDescent="0.25">
      <c r="B281" s="95" t="s">
        <v>473</v>
      </c>
      <c r="C281" s="92"/>
      <c r="D281" s="92"/>
      <c r="E281" s="92"/>
      <c r="F281" s="106"/>
      <c r="G281" s="92"/>
      <c r="H281" s="104"/>
      <c r="I281" s="102" t="s">
        <v>188</v>
      </c>
    </row>
    <row r="282" spans="2:9" x14ac:dyDescent="0.25">
      <c r="B282" s="95" t="s">
        <v>474</v>
      </c>
      <c r="C282" s="92"/>
      <c r="D282" s="92"/>
      <c r="E282" s="92"/>
      <c r="F282" s="106"/>
      <c r="G282" s="92"/>
      <c r="H282" s="104"/>
      <c r="I282" s="102" t="s">
        <v>188</v>
      </c>
    </row>
    <row r="283" spans="2:9" x14ac:dyDescent="0.25">
      <c r="B283" s="95" t="s">
        <v>475</v>
      </c>
      <c r="C283" s="92"/>
      <c r="D283" s="92"/>
      <c r="E283" s="92"/>
      <c r="F283" s="106"/>
      <c r="G283" s="92"/>
      <c r="H283" s="104"/>
      <c r="I283" s="102" t="s">
        <v>188</v>
      </c>
    </row>
    <row r="284" spans="2:9" x14ac:dyDescent="0.25">
      <c r="B284" s="95" t="s">
        <v>476</v>
      </c>
      <c r="C284" s="92"/>
      <c r="D284" s="92"/>
      <c r="E284" s="92"/>
      <c r="F284" s="106"/>
      <c r="G284" s="92"/>
      <c r="H284" s="104"/>
      <c r="I284" s="102" t="s">
        <v>188</v>
      </c>
    </row>
    <row r="285" spans="2:9" x14ac:dyDescent="0.25">
      <c r="B285" s="95" t="s">
        <v>477</v>
      </c>
      <c r="C285" s="92"/>
      <c r="D285" s="92"/>
      <c r="E285" s="92"/>
      <c r="F285" s="106"/>
      <c r="G285" s="92"/>
      <c r="H285" s="104"/>
      <c r="I285" s="102" t="s">
        <v>188</v>
      </c>
    </row>
    <row r="286" spans="2:9" x14ac:dyDescent="0.25">
      <c r="B286" s="95" t="s">
        <v>478</v>
      </c>
      <c r="C286" s="92"/>
      <c r="D286" s="92"/>
      <c r="E286" s="92"/>
      <c r="F286" s="106"/>
      <c r="G286" s="92"/>
      <c r="H286" s="104"/>
      <c r="I286" s="102" t="s">
        <v>188</v>
      </c>
    </row>
    <row r="287" spans="2:9" x14ac:dyDescent="0.25">
      <c r="B287" s="95" t="s">
        <v>479</v>
      </c>
      <c r="C287" s="92"/>
      <c r="D287" s="92"/>
      <c r="E287" s="92"/>
      <c r="F287" s="106"/>
      <c r="G287" s="92"/>
      <c r="H287" s="104"/>
      <c r="I287" s="102" t="s">
        <v>188</v>
      </c>
    </row>
    <row r="288" spans="2:9" x14ac:dyDescent="0.25">
      <c r="B288" s="95" t="s">
        <v>480</v>
      </c>
      <c r="C288" s="92"/>
      <c r="D288" s="92"/>
      <c r="E288" s="92"/>
      <c r="F288" s="106"/>
      <c r="G288" s="92"/>
      <c r="H288" s="104"/>
      <c r="I288" s="102" t="s">
        <v>188</v>
      </c>
    </row>
    <row r="289" spans="2:9" x14ac:dyDescent="0.25">
      <c r="B289" s="95" t="s">
        <v>481</v>
      </c>
      <c r="C289" s="92"/>
      <c r="D289" s="92"/>
      <c r="E289" s="92"/>
      <c r="F289" s="106"/>
      <c r="G289" s="92"/>
      <c r="H289" s="104"/>
      <c r="I289" s="102" t="s">
        <v>188</v>
      </c>
    </row>
    <row r="290" spans="2:9" x14ac:dyDescent="0.25">
      <c r="B290" s="95" t="s">
        <v>482</v>
      </c>
      <c r="C290" s="92"/>
      <c r="D290" s="92"/>
      <c r="E290" s="92"/>
      <c r="F290" s="106"/>
      <c r="G290" s="92"/>
      <c r="H290" s="104"/>
      <c r="I290" s="102" t="s">
        <v>188</v>
      </c>
    </row>
    <row r="291" spans="2:9" x14ac:dyDescent="0.25">
      <c r="B291" s="95" t="s">
        <v>483</v>
      </c>
      <c r="C291" s="92"/>
      <c r="D291" s="92"/>
      <c r="E291" s="92"/>
      <c r="F291" s="106"/>
      <c r="G291" s="92"/>
      <c r="H291" s="104"/>
      <c r="I291" s="102" t="s">
        <v>188</v>
      </c>
    </row>
    <row r="292" spans="2:9" x14ac:dyDescent="0.25">
      <c r="B292" s="95" t="s">
        <v>484</v>
      </c>
      <c r="C292" s="92"/>
      <c r="D292" s="92"/>
      <c r="E292" s="92"/>
      <c r="F292" s="106"/>
      <c r="G292" s="92"/>
      <c r="H292" s="104"/>
      <c r="I292" s="102" t="s">
        <v>188</v>
      </c>
    </row>
    <row r="293" spans="2:9" x14ac:dyDescent="0.25">
      <c r="B293" s="95" t="s">
        <v>485</v>
      </c>
      <c r="C293" s="92"/>
      <c r="D293" s="92"/>
      <c r="E293" s="92"/>
      <c r="F293" s="106"/>
      <c r="G293" s="92"/>
      <c r="H293" s="104"/>
      <c r="I293" s="102" t="s">
        <v>188</v>
      </c>
    </row>
    <row r="294" spans="2:9" x14ac:dyDescent="0.25">
      <c r="B294" s="95" t="s">
        <v>486</v>
      </c>
      <c r="C294" s="92"/>
      <c r="D294" s="92"/>
      <c r="E294" s="92"/>
      <c r="F294" s="106"/>
      <c r="G294" s="92"/>
      <c r="H294" s="104"/>
      <c r="I294" s="102" t="s">
        <v>188</v>
      </c>
    </row>
    <row r="295" spans="2:9" x14ac:dyDescent="0.25">
      <c r="B295" s="95" t="s">
        <v>487</v>
      </c>
      <c r="C295" s="92"/>
      <c r="D295" s="92"/>
      <c r="E295" s="92"/>
      <c r="F295" s="106"/>
      <c r="G295" s="92"/>
      <c r="H295" s="104"/>
      <c r="I295" s="102" t="s">
        <v>188</v>
      </c>
    </row>
    <row r="296" spans="2:9" x14ac:dyDescent="0.25">
      <c r="B296" s="95" t="s">
        <v>488</v>
      </c>
      <c r="C296" s="92"/>
      <c r="D296" s="92"/>
      <c r="E296" s="92"/>
      <c r="F296" s="106"/>
      <c r="G296" s="92"/>
      <c r="H296" s="104"/>
      <c r="I296" s="102" t="s">
        <v>188</v>
      </c>
    </row>
    <row r="297" spans="2:9" x14ac:dyDescent="0.25">
      <c r="B297" s="95" t="s">
        <v>489</v>
      </c>
      <c r="C297" s="92"/>
      <c r="D297" s="92"/>
      <c r="E297" s="92"/>
      <c r="F297" s="106"/>
      <c r="G297" s="92"/>
      <c r="H297" s="104"/>
      <c r="I297" s="102" t="s">
        <v>188</v>
      </c>
    </row>
    <row r="298" spans="2:9" x14ac:dyDescent="0.25">
      <c r="B298" s="95" t="s">
        <v>490</v>
      </c>
      <c r="C298" s="92"/>
      <c r="D298" s="92"/>
      <c r="E298" s="92"/>
      <c r="F298" s="106"/>
      <c r="G298" s="92"/>
      <c r="H298" s="104"/>
      <c r="I298" s="102" t="s">
        <v>188</v>
      </c>
    </row>
    <row r="299" spans="2:9" x14ac:dyDescent="0.25">
      <c r="B299" s="95" t="s">
        <v>491</v>
      </c>
      <c r="C299" s="92"/>
      <c r="D299" s="92"/>
      <c r="E299" s="92"/>
      <c r="F299" s="106"/>
      <c r="G299" s="92"/>
      <c r="H299" s="104"/>
      <c r="I299" s="102" t="s">
        <v>188</v>
      </c>
    </row>
    <row r="300" spans="2:9" x14ac:dyDescent="0.25">
      <c r="B300" s="95" t="s">
        <v>492</v>
      </c>
      <c r="C300" s="92"/>
      <c r="D300" s="92"/>
      <c r="E300" s="92"/>
      <c r="F300" s="106"/>
      <c r="G300" s="92"/>
      <c r="H300" s="104"/>
      <c r="I300" s="102" t="s">
        <v>188</v>
      </c>
    </row>
    <row r="301" spans="2:9" x14ac:dyDescent="0.25">
      <c r="B301" s="95" t="s">
        <v>493</v>
      </c>
      <c r="C301" s="92"/>
      <c r="D301" s="92"/>
      <c r="E301" s="92"/>
      <c r="F301" s="106"/>
      <c r="G301" s="92"/>
      <c r="H301" s="104"/>
      <c r="I301" s="102" t="s">
        <v>188</v>
      </c>
    </row>
    <row r="302" spans="2:9" x14ac:dyDescent="0.25">
      <c r="B302" s="95" t="s">
        <v>494</v>
      </c>
      <c r="C302" s="92"/>
      <c r="D302" s="92"/>
      <c r="E302" s="92"/>
      <c r="F302" s="106"/>
      <c r="G302" s="92"/>
      <c r="H302" s="104"/>
      <c r="I302" s="102" t="s">
        <v>188</v>
      </c>
    </row>
    <row r="303" spans="2:9" x14ac:dyDescent="0.25">
      <c r="B303" s="95" t="s">
        <v>495</v>
      </c>
      <c r="C303" s="92"/>
      <c r="D303" s="92"/>
      <c r="E303" s="92"/>
      <c r="F303" s="106"/>
      <c r="G303" s="92"/>
      <c r="H303" s="104"/>
      <c r="I303" s="102" t="s">
        <v>188</v>
      </c>
    </row>
    <row r="304" spans="2:9" x14ac:dyDescent="0.25">
      <c r="B304" s="95" t="s">
        <v>496</v>
      </c>
      <c r="C304" s="92"/>
      <c r="D304" s="92"/>
      <c r="E304" s="92"/>
      <c r="F304" s="106"/>
      <c r="G304" s="92"/>
      <c r="H304" s="104"/>
      <c r="I304" s="102" t="s">
        <v>188</v>
      </c>
    </row>
    <row r="305" spans="2:9" x14ac:dyDescent="0.25">
      <c r="B305" s="95" t="s">
        <v>497</v>
      </c>
      <c r="C305" s="92"/>
      <c r="D305" s="92"/>
      <c r="E305" s="92"/>
      <c r="F305" s="106"/>
      <c r="G305" s="92"/>
      <c r="H305" s="104"/>
      <c r="I305" s="102" t="s">
        <v>188</v>
      </c>
    </row>
    <row r="306" spans="2:9" x14ac:dyDescent="0.25">
      <c r="B306" s="95" t="s">
        <v>498</v>
      </c>
      <c r="C306" s="92"/>
      <c r="D306" s="92"/>
      <c r="E306" s="92"/>
      <c r="F306" s="106"/>
      <c r="G306" s="92"/>
      <c r="H306" s="104"/>
      <c r="I306" s="102" t="s">
        <v>188</v>
      </c>
    </row>
    <row r="307" spans="2:9" x14ac:dyDescent="0.25">
      <c r="B307" s="95" t="s">
        <v>499</v>
      </c>
      <c r="C307" s="92"/>
      <c r="D307" s="92"/>
      <c r="E307" s="92"/>
      <c r="F307" s="106"/>
      <c r="G307" s="92"/>
      <c r="H307" s="104"/>
      <c r="I307" s="102" t="s">
        <v>188</v>
      </c>
    </row>
    <row r="308" spans="2:9" x14ac:dyDescent="0.25">
      <c r="B308" s="95" t="s">
        <v>500</v>
      </c>
      <c r="C308" s="92"/>
      <c r="D308" s="92"/>
      <c r="E308" s="92"/>
      <c r="F308" s="106"/>
      <c r="G308" s="92"/>
      <c r="H308" s="104"/>
      <c r="I308" s="102" t="s">
        <v>188</v>
      </c>
    </row>
    <row r="309" spans="2:9" x14ac:dyDescent="0.25">
      <c r="B309" s="95" t="s">
        <v>501</v>
      </c>
      <c r="C309" s="92"/>
      <c r="D309" s="92"/>
      <c r="E309" s="92"/>
      <c r="F309" s="106"/>
      <c r="G309" s="92"/>
      <c r="H309" s="104"/>
      <c r="I309" s="102" t="s">
        <v>188</v>
      </c>
    </row>
    <row r="310" spans="2:9" x14ac:dyDescent="0.25">
      <c r="B310" s="95" t="s">
        <v>502</v>
      </c>
      <c r="C310" s="92"/>
      <c r="D310" s="92"/>
      <c r="E310" s="92"/>
      <c r="F310" s="106"/>
      <c r="G310" s="92"/>
      <c r="H310" s="104"/>
      <c r="I310" s="102" t="s">
        <v>188</v>
      </c>
    </row>
    <row r="311" spans="2:9" x14ac:dyDescent="0.25">
      <c r="B311" s="95" t="s">
        <v>503</v>
      </c>
      <c r="C311" s="92"/>
      <c r="D311" s="92"/>
      <c r="E311" s="92"/>
      <c r="F311" s="106"/>
      <c r="G311" s="92"/>
      <c r="H311" s="104"/>
      <c r="I311" s="102" t="s">
        <v>188</v>
      </c>
    </row>
    <row r="312" spans="2:9" x14ac:dyDescent="0.25">
      <c r="B312" s="95" t="s">
        <v>504</v>
      </c>
      <c r="C312" s="92"/>
      <c r="D312" s="92"/>
      <c r="E312" s="92"/>
      <c r="F312" s="106"/>
      <c r="G312" s="92"/>
      <c r="H312" s="104"/>
      <c r="I312" s="102" t="s">
        <v>188</v>
      </c>
    </row>
    <row r="313" spans="2:9" x14ac:dyDescent="0.25">
      <c r="B313" s="95" t="s">
        <v>505</v>
      </c>
      <c r="C313" s="92"/>
      <c r="D313" s="92"/>
      <c r="E313" s="92"/>
      <c r="F313" s="106"/>
      <c r="G313" s="92"/>
      <c r="H313" s="104"/>
      <c r="I313" s="102" t="s">
        <v>188</v>
      </c>
    </row>
    <row r="314" spans="2:9" x14ac:dyDescent="0.25">
      <c r="B314" s="95" t="s">
        <v>506</v>
      </c>
      <c r="C314" s="92"/>
      <c r="D314" s="92"/>
      <c r="E314" s="92"/>
      <c r="F314" s="106"/>
      <c r="G314" s="92"/>
      <c r="H314" s="104"/>
      <c r="I314" s="102" t="s">
        <v>188</v>
      </c>
    </row>
    <row r="315" spans="2:9" x14ac:dyDescent="0.25">
      <c r="B315" s="95" t="s">
        <v>507</v>
      </c>
      <c r="C315" s="92"/>
      <c r="D315" s="92"/>
      <c r="E315" s="92"/>
      <c r="F315" s="106"/>
      <c r="G315" s="92"/>
      <c r="H315" s="104"/>
      <c r="I315" s="102" t="s">
        <v>188</v>
      </c>
    </row>
    <row r="316" spans="2:9" x14ac:dyDescent="0.25">
      <c r="B316" s="95" t="s">
        <v>508</v>
      </c>
      <c r="C316" s="92"/>
      <c r="D316" s="92"/>
      <c r="E316" s="92"/>
      <c r="F316" s="106"/>
      <c r="G316" s="92"/>
      <c r="H316" s="104"/>
      <c r="I316" s="102" t="s">
        <v>188</v>
      </c>
    </row>
    <row r="317" spans="2:9" x14ac:dyDescent="0.25">
      <c r="B317" s="95" t="s">
        <v>509</v>
      </c>
      <c r="C317" s="92"/>
      <c r="D317" s="92"/>
      <c r="E317" s="92"/>
      <c r="F317" s="106"/>
      <c r="G317" s="92"/>
      <c r="H317" s="104"/>
      <c r="I317" s="102" t="s">
        <v>188</v>
      </c>
    </row>
    <row r="318" spans="2:9" x14ac:dyDescent="0.25">
      <c r="B318" s="95" t="s">
        <v>510</v>
      </c>
      <c r="C318" s="92"/>
      <c r="D318" s="92"/>
      <c r="E318" s="92"/>
      <c r="F318" s="106"/>
      <c r="G318" s="92"/>
      <c r="H318" s="104"/>
      <c r="I318" s="102" t="s">
        <v>188</v>
      </c>
    </row>
    <row r="319" spans="2:9" x14ac:dyDescent="0.25">
      <c r="B319" s="95" t="s">
        <v>511</v>
      </c>
      <c r="C319" s="92"/>
      <c r="D319" s="92"/>
      <c r="E319" s="92"/>
      <c r="F319" s="106"/>
      <c r="G319" s="92"/>
      <c r="H319" s="104"/>
      <c r="I319" s="102" t="s">
        <v>188</v>
      </c>
    </row>
    <row r="320" spans="2:9" x14ac:dyDescent="0.25">
      <c r="B320" s="95" t="s">
        <v>512</v>
      </c>
      <c r="C320" s="92"/>
      <c r="D320" s="92"/>
      <c r="E320" s="92"/>
      <c r="F320" s="106"/>
      <c r="G320" s="92"/>
      <c r="H320" s="104"/>
      <c r="I320" s="102" t="s">
        <v>188</v>
      </c>
    </row>
    <row r="321" spans="2:9" x14ac:dyDescent="0.25">
      <c r="B321" s="95" t="s">
        <v>513</v>
      </c>
      <c r="C321" s="92"/>
      <c r="D321" s="92"/>
      <c r="E321" s="92"/>
      <c r="F321" s="106"/>
      <c r="G321" s="92"/>
      <c r="H321" s="104"/>
      <c r="I321" s="102" t="s">
        <v>188</v>
      </c>
    </row>
    <row r="322" spans="2:9" x14ac:dyDescent="0.25">
      <c r="B322" s="95" t="s">
        <v>514</v>
      </c>
      <c r="C322" s="92"/>
      <c r="D322" s="92"/>
      <c r="E322" s="92"/>
      <c r="F322" s="106"/>
      <c r="G322" s="92"/>
      <c r="H322" s="104"/>
      <c r="I322" s="102" t="s">
        <v>188</v>
      </c>
    </row>
    <row r="323" spans="2:9" x14ac:dyDescent="0.25">
      <c r="B323" s="95" t="s">
        <v>515</v>
      </c>
      <c r="C323" s="92"/>
      <c r="D323" s="92"/>
      <c r="E323" s="92"/>
      <c r="F323" s="106"/>
      <c r="G323" s="92"/>
      <c r="H323" s="104"/>
      <c r="I323" s="102" t="s">
        <v>188</v>
      </c>
    </row>
    <row r="324" spans="2:9" x14ac:dyDescent="0.25">
      <c r="B324" s="95" t="s">
        <v>516</v>
      </c>
      <c r="C324" s="92"/>
      <c r="D324" s="92"/>
      <c r="E324" s="92"/>
      <c r="F324" s="106"/>
      <c r="G324" s="92"/>
      <c r="H324" s="104"/>
      <c r="I324" s="102" t="s">
        <v>188</v>
      </c>
    </row>
    <row r="325" spans="2:9" x14ac:dyDescent="0.25">
      <c r="B325" s="95" t="s">
        <v>517</v>
      </c>
      <c r="C325" s="92"/>
      <c r="D325" s="92"/>
      <c r="E325" s="92"/>
      <c r="F325" s="106"/>
      <c r="G325" s="92"/>
      <c r="H325" s="104"/>
      <c r="I325" s="102" t="s">
        <v>188</v>
      </c>
    </row>
    <row r="326" spans="2:9" x14ac:dyDescent="0.25">
      <c r="B326" s="95" t="s">
        <v>518</v>
      </c>
      <c r="C326" s="92"/>
      <c r="D326" s="92"/>
      <c r="E326" s="92"/>
      <c r="F326" s="106"/>
      <c r="G326" s="92"/>
      <c r="H326" s="104"/>
      <c r="I326" s="102" t="s">
        <v>188</v>
      </c>
    </row>
    <row r="327" spans="2:9" x14ac:dyDescent="0.25">
      <c r="B327" s="95" t="s">
        <v>519</v>
      </c>
      <c r="C327" s="92"/>
      <c r="D327" s="92"/>
      <c r="E327" s="92"/>
      <c r="F327" s="106"/>
      <c r="G327" s="92"/>
      <c r="H327" s="104"/>
      <c r="I327" s="102" t="s">
        <v>188</v>
      </c>
    </row>
    <row r="328" spans="2:9" x14ac:dyDescent="0.25">
      <c r="B328" s="95" t="s">
        <v>520</v>
      </c>
      <c r="C328" s="92"/>
      <c r="D328" s="92"/>
      <c r="E328" s="92"/>
      <c r="F328" s="106"/>
      <c r="G328" s="92"/>
      <c r="H328" s="104"/>
      <c r="I328" s="102" t="s">
        <v>188</v>
      </c>
    </row>
    <row r="329" spans="2:9" x14ac:dyDescent="0.25">
      <c r="B329" s="95" t="s">
        <v>521</v>
      </c>
      <c r="C329" s="92"/>
      <c r="D329" s="92"/>
      <c r="E329" s="92"/>
      <c r="F329" s="106"/>
      <c r="G329" s="92"/>
      <c r="H329" s="104"/>
      <c r="I329" s="102" t="s">
        <v>188</v>
      </c>
    </row>
    <row r="330" spans="2:9" x14ac:dyDescent="0.25">
      <c r="B330" s="95" t="s">
        <v>522</v>
      </c>
      <c r="C330" s="92"/>
      <c r="D330" s="92"/>
      <c r="E330" s="92"/>
      <c r="F330" s="106"/>
      <c r="G330" s="92"/>
      <c r="H330" s="104"/>
      <c r="I330" s="102" t="s">
        <v>188</v>
      </c>
    </row>
    <row r="331" spans="2:9" x14ac:dyDescent="0.25">
      <c r="B331" s="95" t="s">
        <v>523</v>
      </c>
      <c r="C331" s="92"/>
      <c r="D331" s="92"/>
      <c r="E331" s="92"/>
      <c r="F331" s="106"/>
      <c r="G331" s="92"/>
      <c r="H331" s="104"/>
      <c r="I331" s="102" t="s">
        <v>188</v>
      </c>
    </row>
    <row r="332" spans="2:9" x14ac:dyDescent="0.25">
      <c r="B332" s="95" t="s">
        <v>524</v>
      </c>
      <c r="C332" s="92"/>
      <c r="D332" s="92"/>
      <c r="E332" s="92"/>
      <c r="F332" s="106"/>
      <c r="G332" s="92"/>
      <c r="H332" s="104"/>
      <c r="I332" s="102" t="s">
        <v>188</v>
      </c>
    </row>
    <row r="333" spans="2:9" x14ac:dyDescent="0.25">
      <c r="B333" s="95" t="s">
        <v>525</v>
      </c>
      <c r="C333" s="92"/>
      <c r="D333" s="92"/>
      <c r="E333" s="92"/>
      <c r="F333" s="106"/>
      <c r="G333" s="92"/>
      <c r="H333" s="104"/>
      <c r="I333" s="102" t="s">
        <v>188</v>
      </c>
    </row>
    <row r="334" spans="2:9" x14ac:dyDescent="0.25">
      <c r="B334" s="95" t="s">
        <v>526</v>
      </c>
      <c r="C334" s="92"/>
      <c r="D334" s="92"/>
      <c r="E334" s="92"/>
      <c r="F334" s="106"/>
      <c r="G334" s="92"/>
      <c r="H334" s="104"/>
      <c r="I334" s="102" t="s">
        <v>188</v>
      </c>
    </row>
    <row r="335" spans="2:9" x14ac:dyDescent="0.25">
      <c r="B335" s="95" t="s">
        <v>527</v>
      </c>
      <c r="C335" s="92"/>
      <c r="D335" s="92"/>
      <c r="E335" s="92"/>
      <c r="F335" s="106"/>
      <c r="G335" s="92"/>
      <c r="H335" s="104"/>
      <c r="I335" s="102" t="s">
        <v>188</v>
      </c>
    </row>
    <row r="336" spans="2:9" x14ac:dyDescent="0.25">
      <c r="B336" s="95" t="s">
        <v>528</v>
      </c>
      <c r="C336" s="92"/>
      <c r="D336" s="92"/>
      <c r="E336" s="92"/>
      <c r="F336" s="106"/>
      <c r="G336" s="92"/>
      <c r="H336" s="104"/>
      <c r="I336" s="102" t="s">
        <v>188</v>
      </c>
    </row>
    <row r="337" spans="2:9" x14ac:dyDescent="0.25">
      <c r="B337" s="95" t="s">
        <v>529</v>
      </c>
      <c r="C337" s="92"/>
      <c r="D337" s="92"/>
      <c r="E337" s="92"/>
      <c r="F337" s="106"/>
      <c r="G337" s="92"/>
      <c r="H337" s="104"/>
      <c r="I337" s="102" t="s">
        <v>188</v>
      </c>
    </row>
    <row r="338" spans="2:9" x14ac:dyDescent="0.25">
      <c r="B338" s="95" t="s">
        <v>530</v>
      </c>
      <c r="C338" s="92"/>
      <c r="D338" s="92"/>
      <c r="E338" s="92"/>
      <c r="F338" s="106"/>
      <c r="G338" s="92"/>
      <c r="H338" s="104"/>
      <c r="I338" s="102" t="s">
        <v>188</v>
      </c>
    </row>
    <row r="339" spans="2:9" x14ac:dyDescent="0.25">
      <c r="B339" s="95" t="s">
        <v>531</v>
      </c>
      <c r="C339" s="92"/>
      <c r="D339" s="92"/>
      <c r="E339" s="92"/>
      <c r="F339" s="106"/>
      <c r="G339" s="92"/>
      <c r="H339" s="104"/>
      <c r="I339" s="102" t="s">
        <v>188</v>
      </c>
    </row>
    <row r="340" spans="2:9" x14ac:dyDescent="0.25">
      <c r="B340" s="95" t="s">
        <v>532</v>
      </c>
      <c r="C340" s="92"/>
      <c r="D340" s="92"/>
      <c r="E340" s="92"/>
      <c r="F340" s="106"/>
      <c r="G340" s="92"/>
      <c r="H340" s="104"/>
      <c r="I340" s="102" t="s">
        <v>188</v>
      </c>
    </row>
    <row r="341" spans="2:9" x14ac:dyDescent="0.25">
      <c r="B341" s="95" t="s">
        <v>533</v>
      </c>
      <c r="C341" s="92"/>
      <c r="D341" s="92"/>
      <c r="E341" s="92"/>
      <c r="F341" s="106"/>
      <c r="G341" s="92"/>
      <c r="H341" s="104"/>
      <c r="I341" s="102" t="s">
        <v>188</v>
      </c>
    </row>
    <row r="342" spans="2:9" x14ac:dyDescent="0.25">
      <c r="B342" s="95" t="s">
        <v>534</v>
      </c>
      <c r="C342" s="92"/>
      <c r="D342" s="92"/>
      <c r="E342" s="92"/>
      <c r="F342" s="106"/>
      <c r="G342" s="92"/>
      <c r="H342" s="104"/>
      <c r="I342" s="102" t="s">
        <v>188</v>
      </c>
    </row>
    <row r="343" spans="2:9" x14ac:dyDescent="0.25">
      <c r="B343" s="95" t="s">
        <v>535</v>
      </c>
      <c r="C343" s="92"/>
      <c r="D343" s="92"/>
      <c r="E343" s="92"/>
      <c r="F343" s="106"/>
      <c r="G343" s="92"/>
      <c r="H343" s="104"/>
      <c r="I343" s="102" t="s">
        <v>188</v>
      </c>
    </row>
    <row r="344" spans="2:9" x14ac:dyDescent="0.25">
      <c r="B344" s="95" t="s">
        <v>536</v>
      </c>
      <c r="C344" s="92"/>
      <c r="D344" s="92"/>
      <c r="E344" s="92"/>
      <c r="F344" s="106"/>
      <c r="G344" s="92"/>
      <c r="H344" s="104"/>
      <c r="I344" s="102" t="s">
        <v>188</v>
      </c>
    </row>
    <row r="345" spans="2:9" x14ac:dyDescent="0.25">
      <c r="B345" s="95" t="s">
        <v>537</v>
      </c>
      <c r="C345" s="92"/>
      <c r="D345" s="92"/>
      <c r="E345" s="92"/>
      <c r="F345" s="106"/>
      <c r="G345" s="92"/>
      <c r="H345" s="104"/>
      <c r="I345" s="102" t="s">
        <v>188</v>
      </c>
    </row>
    <row r="346" spans="2:9" x14ac:dyDescent="0.25">
      <c r="B346" s="95" t="s">
        <v>538</v>
      </c>
      <c r="C346" s="92"/>
      <c r="D346" s="92"/>
      <c r="E346" s="92"/>
      <c r="F346" s="106"/>
      <c r="G346" s="92"/>
      <c r="H346" s="104"/>
      <c r="I346" s="102" t="s">
        <v>188</v>
      </c>
    </row>
    <row r="347" spans="2:9" x14ac:dyDescent="0.25">
      <c r="B347" s="95" t="s">
        <v>539</v>
      </c>
      <c r="C347" s="92"/>
      <c r="D347" s="92"/>
      <c r="E347" s="92"/>
      <c r="F347" s="106"/>
      <c r="G347" s="92"/>
      <c r="H347" s="104"/>
      <c r="I347" s="102" t="s">
        <v>188</v>
      </c>
    </row>
    <row r="348" spans="2:9" x14ac:dyDescent="0.25">
      <c r="B348" s="95" t="s">
        <v>540</v>
      </c>
      <c r="C348" s="92"/>
      <c r="D348" s="92"/>
      <c r="E348" s="92"/>
      <c r="F348" s="106"/>
      <c r="G348" s="92"/>
      <c r="H348" s="104"/>
      <c r="I348" s="102" t="s">
        <v>188</v>
      </c>
    </row>
    <row r="349" spans="2:9" x14ac:dyDescent="0.25">
      <c r="B349" s="95" t="s">
        <v>541</v>
      </c>
      <c r="C349" s="92"/>
      <c r="D349" s="92"/>
      <c r="E349" s="92"/>
      <c r="F349" s="106"/>
      <c r="G349" s="92"/>
      <c r="H349" s="104"/>
      <c r="I349" s="102" t="s">
        <v>188</v>
      </c>
    </row>
    <row r="350" spans="2:9" x14ac:dyDescent="0.25">
      <c r="B350" s="95" t="s">
        <v>542</v>
      </c>
      <c r="C350" s="92"/>
      <c r="D350" s="92"/>
      <c r="E350" s="92"/>
      <c r="F350" s="106"/>
      <c r="G350" s="92"/>
      <c r="H350" s="104"/>
      <c r="I350" s="102" t="s">
        <v>188</v>
      </c>
    </row>
    <row r="351" spans="2:9" x14ac:dyDescent="0.25">
      <c r="B351" s="95" t="s">
        <v>543</v>
      </c>
      <c r="C351" s="92"/>
      <c r="D351" s="92"/>
      <c r="E351" s="92"/>
      <c r="F351" s="106"/>
      <c r="G351" s="92"/>
      <c r="H351" s="104"/>
      <c r="I351" s="102" t="s">
        <v>188</v>
      </c>
    </row>
    <row r="352" spans="2:9" x14ac:dyDescent="0.25">
      <c r="B352" s="95" t="s">
        <v>544</v>
      </c>
      <c r="C352" s="92"/>
      <c r="D352" s="92"/>
      <c r="E352" s="92"/>
      <c r="F352" s="106"/>
      <c r="G352" s="92"/>
      <c r="H352" s="104"/>
      <c r="I352" s="102" t="s">
        <v>188</v>
      </c>
    </row>
    <row r="353" spans="2:9" x14ac:dyDescent="0.25">
      <c r="B353" s="95" t="s">
        <v>545</v>
      </c>
      <c r="C353" s="92"/>
      <c r="D353" s="92"/>
      <c r="E353" s="92"/>
      <c r="F353" s="106"/>
      <c r="G353" s="92"/>
      <c r="H353" s="104"/>
      <c r="I353" s="102" t="s">
        <v>188</v>
      </c>
    </row>
    <row r="354" spans="2:9" x14ac:dyDescent="0.25">
      <c r="B354" s="95" t="s">
        <v>546</v>
      </c>
      <c r="C354" s="92"/>
      <c r="D354" s="92"/>
      <c r="E354" s="92"/>
      <c r="F354" s="106"/>
      <c r="G354" s="92"/>
      <c r="H354" s="104"/>
      <c r="I354" s="102" t="s">
        <v>188</v>
      </c>
    </row>
    <row r="355" spans="2:9" x14ac:dyDescent="0.25">
      <c r="B355" s="95" t="s">
        <v>547</v>
      </c>
      <c r="C355" s="92"/>
      <c r="D355" s="92"/>
      <c r="E355" s="92"/>
      <c r="F355" s="106"/>
      <c r="G355" s="92"/>
      <c r="H355" s="104"/>
      <c r="I355" s="102" t="s">
        <v>188</v>
      </c>
    </row>
    <row r="356" spans="2:9" x14ac:dyDescent="0.25">
      <c r="B356" s="95" t="s">
        <v>548</v>
      </c>
      <c r="C356" s="92"/>
      <c r="D356" s="92"/>
      <c r="E356" s="92"/>
      <c r="F356" s="106"/>
      <c r="G356" s="92"/>
      <c r="H356" s="104"/>
      <c r="I356" s="102" t="s">
        <v>188</v>
      </c>
    </row>
    <row r="357" spans="2:9" x14ac:dyDescent="0.25">
      <c r="B357" s="95" t="s">
        <v>549</v>
      </c>
      <c r="C357" s="92"/>
      <c r="D357" s="92"/>
      <c r="E357" s="92"/>
      <c r="F357" s="106"/>
      <c r="G357" s="92"/>
      <c r="H357" s="104"/>
      <c r="I357" s="102" t="s">
        <v>188</v>
      </c>
    </row>
    <row r="358" spans="2:9" x14ac:dyDescent="0.25">
      <c r="B358" s="95" t="s">
        <v>550</v>
      </c>
      <c r="C358" s="92"/>
      <c r="D358" s="92"/>
      <c r="E358" s="92"/>
      <c r="F358" s="106"/>
      <c r="G358" s="92"/>
      <c r="H358" s="104"/>
      <c r="I358" s="102" t="s">
        <v>188</v>
      </c>
    </row>
    <row r="359" spans="2:9" x14ac:dyDescent="0.25">
      <c r="B359" s="95" t="s">
        <v>551</v>
      </c>
      <c r="C359" s="92"/>
      <c r="D359" s="92"/>
      <c r="E359" s="92"/>
      <c r="F359" s="106"/>
      <c r="G359" s="92"/>
      <c r="H359" s="104"/>
      <c r="I359" s="102" t="s">
        <v>188</v>
      </c>
    </row>
    <row r="360" spans="2:9" x14ac:dyDescent="0.25">
      <c r="B360" s="95" t="s">
        <v>552</v>
      </c>
      <c r="C360" s="92"/>
      <c r="D360" s="92"/>
      <c r="E360" s="92"/>
      <c r="F360" s="106"/>
      <c r="G360" s="92"/>
      <c r="H360" s="104"/>
      <c r="I360" s="102" t="s">
        <v>188</v>
      </c>
    </row>
    <row r="361" spans="2:9" x14ac:dyDescent="0.25">
      <c r="B361" s="95" t="s">
        <v>553</v>
      </c>
      <c r="C361" s="92"/>
      <c r="D361" s="92"/>
      <c r="E361" s="92"/>
      <c r="F361" s="106"/>
      <c r="G361" s="92"/>
      <c r="H361" s="104"/>
      <c r="I361" s="102" t="s">
        <v>188</v>
      </c>
    </row>
    <row r="362" spans="2:9" x14ac:dyDescent="0.25">
      <c r="B362" s="95" t="s">
        <v>554</v>
      </c>
      <c r="C362" s="92"/>
      <c r="D362" s="92"/>
      <c r="E362" s="92"/>
      <c r="F362" s="106"/>
      <c r="G362" s="92"/>
      <c r="H362" s="104"/>
      <c r="I362" s="102" t="s">
        <v>188</v>
      </c>
    </row>
    <row r="363" spans="2:9" x14ac:dyDescent="0.25">
      <c r="B363" s="95" t="s">
        <v>555</v>
      </c>
      <c r="C363" s="92"/>
      <c r="D363" s="92"/>
      <c r="E363" s="92"/>
      <c r="F363" s="106"/>
      <c r="G363" s="92"/>
      <c r="H363" s="104"/>
      <c r="I363" s="102" t="s">
        <v>188</v>
      </c>
    </row>
    <row r="364" spans="2:9" x14ac:dyDescent="0.25">
      <c r="B364" s="95" t="s">
        <v>556</v>
      </c>
      <c r="C364" s="92"/>
      <c r="D364" s="92"/>
      <c r="E364" s="92"/>
      <c r="F364" s="106"/>
      <c r="G364" s="92"/>
      <c r="H364" s="104"/>
      <c r="I364" s="102" t="s">
        <v>188</v>
      </c>
    </row>
    <row r="365" spans="2:9" x14ac:dyDescent="0.25">
      <c r="B365" s="95" t="s">
        <v>557</v>
      </c>
      <c r="C365" s="92"/>
      <c r="D365" s="92"/>
      <c r="E365" s="92"/>
      <c r="F365" s="106"/>
      <c r="G365" s="92"/>
      <c r="H365" s="104"/>
      <c r="I365" s="102" t="s">
        <v>188</v>
      </c>
    </row>
    <row r="366" spans="2:9" x14ac:dyDescent="0.25">
      <c r="B366" s="95" t="s">
        <v>558</v>
      </c>
      <c r="C366" s="92"/>
      <c r="D366" s="92"/>
      <c r="E366" s="92"/>
      <c r="F366" s="106"/>
      <c r="G366" s="92"/>
      <c r="H366" s="104"/>
      <c r="I366" s="102" t="s">
        <v>188</v>
      </c>
    </row>
    <row r="367" spans="2:9" x14ac:dyDescent="0.25">
      <c r="B367" s="95" t="s">
        <v>559</v>
      </c>
      <c r="C367" s="92"/>
      <c r="D367" s="92"/>
      <c r="E367" s="92"/>
      <c r="F367" s="106"/>
      <c r="G367" s="92"/>
      <c r="H367" s="104"/>
      <c r="I367" s="102" t="s">
        <v>188</v>
      </c>
    </row>
    <row r="368" spans="2:9" x14ac:dyDescent="0.25">
      <c r="B368" s="95" t="s">
        <v>560</v>
      </c>
      <c r="C368" s="92"/>
      <c r="D368" s="92"/>
      <c r="E368" s="92"/>
      <c r="F368" s="106"/>
      <c r="G368" s="92"/>
      <c r="H368" s="104"/>
      <c r="I368" s="102" t="s">
        <v>188</v>
      </c>
    </row>
    <row r="369" spans="2:9" x14ac:dyDescent="0.25">
      <c r="B369" s="95" t="s">
        <v>561</v>
      </c>
      <c r="C369" s="92"/>
      <c r="D369" s="92"/>
      <c r="E369" s="92"/>
      <c r="F369" s="106"/>
      <c r="G369" s="92"/>
      <c r="H369" s="104"/>
      <c r="I369" s="102" t="s">
        <v>188</v>
      </c>
    </row>
    <row r="370" spans="2:9" x14ac:dyDescent="0.25">
      <c r="B370" s="95" t="s">
        <v>562</v>
      </c>
      <c r="C370" s="92"/>
      <c r="D370" s="92"/>
      <c r="E370" s="92"/>
      <c r="F370" s="106"/>
      <c r="G370" s="92"/>
      <c r="H370" s="104"/>
      <c r="I370" s="102" t="s">
        <v>188</v>
      </c>
    </row>
    <row r="371" spans="2:9" x14ac:dyDescent="0.25">
      <c r="B371" s="95" t="s">
        <v>563</v>
      </c>
      <c r="C371" s="92"/>
      <c r="D371" s="92"/>
      <c r="E371" s="92"/>
      <c r="F371" s="106"/>
      <c r="G371" s="92"/>
      <c r="H371" s="104"/>
      <c r="I371" s="102" t="s">
        <v>188</v>
      </c>
    </row>
    <row r="372" spans="2:9" x14ac:dyDescent="0.25">
      <c r="B372" s="95" t="s">
        <v>564</v>
      </c>
      <c r="C372" s="92"/>
      <c r="D372" s="92"/>
      <c r="E372" s="92"/>
      <c r="F372" s="106"/>
      <c r="G372" s="92"/>
      <c r="H372" s="104"/>
      <c r="I372" s="102" t="s">
        <v>188</v>
      </c>
    </row>
    <row r="373" spans="2:9" x14ac:dyDescent="0.25">
      <c r="B373" s="95" t="s">
        <v>565</v>
      </c>
      <c r="C373" s="92"/>
      <c r="D373" s="92"/>
      <c r="E373" s="92"/>
      <c r="F373" s="106"/>
      <c r="G373" s="92"/>
      <c r="H373" s="104"/>
      <c r="I373" s="102" t="s">
        <v>188</v>
      </c>
    </row>
    <row r="374" spans="2:9" x14ac:dyDescent="0.25">
      <c r="B374" s="95" t="s">
        <v>566</v>
      </c>
      <c r="C374" s="92"/>
      <c r="D374" s="92"/>
      <c r="E374" s="92"/>
      <c r="F374" s="106"/>
      <c r="G374" s="92"/>
      <c r="H374" s="104"/>
      <c r="I374" s="102" t="s">
        <v>188</v>
      </c>
    </row>
    <row r="375" spans="2:9" x14ac:dyDescent="0.25">
      <c r="B375" s="95" t="s">
        <v>567</v>
      </c>
      <c r="C375" s="92"/>
      <c r="D375" s="92"/>
      <c r="E375" s="92"/>
      <c r="F375" s="106"/>
      <c r="G375" s="92"/>
      <c r="H375" s="104"/>
      <c r="I375" s="102" t="s">
        <v>188</v>
      </c>
    </row>
    <row r="376" spans="2:9" x14ac:dyDescent="0.25">
      <c r="B376" s="95" t="s">
        <v>568</v>
      </c>
      <c r="C376" s="92"/>
      <c r="D376" s="92"/>
      <c r="E376" s="92"/>
      <c r="F376" s="106"/>
      <c r="G376" s="92"/>
      <c r="H376" s="104"/>
      <c r="I376" s="102" t="s">
        <v>188</v>
      </c>
    </row>
    <row r="377" spans="2:9" x14ac:dyDescent="0.25">
      <c r="B377" s="95" t="s">
        <v>569</v>
      </c>
      <c r="C377" s="92"/>
      <c r="D377" s="92"/>
      <c r="E377" s="92"/>
      <c r="F377" s="106"/>
      <c r="G377" s="92"/>
      <c r="H377" s="104"/>
      <c r="I377" s="102" t="s">
        <v>188</v>
      </c>
    </row>
    <row r="378" spans="2:9" x14ac:dyDescent="0.25">
      <c r="B378" s="95" t="s">
        <v>570</v>
      </c>
      <c r="C378" s="92"/>
      <c r="D378" s="92"/>
      <c r="E378" s="92"/>
      <c r="F378" s="106"/>
      <c r="G378" s="92"/>
      <c r="H378" s="104"/>
      <c r="I378" s="102" t="s">
        <v>188</v>
      </c>
    </row>
    <row r="379" spans="2:9" x14ac:dyDescent="0.25">
      <c r="B379" s="95" t="s">
        <v>571</v>
      </c>
      <c r="C379" s="92"/>
      <c r="D379" s="92"/>
      <c r="E379" s="92"/>
      <c r="F379" s="106"/>
      <c r="G379" s="92"/>
      <c r="H379" s="104"/>
      <c r="I379" s="102" t="s">
        <v>188</v>
      </c>
    </row>
    <row r="380" spans="2:9" x14ac:dyDescent="0.25">
      <c r="B380" s="95" t="s">
        <v>572</v>
      </c>
      <c r="C380" s="92"/>
      <c r="D380" s="92"/>
      <c r="E380" s="92"/>
      <c r="F380" s="106"/>
      <c r="G380" s="92"/>
      <c r="H380" s="104"/>
      <c r="I380" s="102" t="s">
        <v>188</v>
      </c>
    </row>
    <row r="381" spans="2:9" x14ac:dyDescent="0.25">
      <c r="B381" s="95" t="s">
        <v>573</v>
      </c>
      <c r="C381" s="92"/>
      <c r="D381" s="92"/>
      <c r="E381" s="92"/>
      <c r="F381" s="106"/>
      <c r="G381" s="92"/>
      <c r="H381" s="104"/>
      <c r="I381" s="102" t="s">
        <v>188</v>
      </c>
    </row>
    <row r="382" spans="2:9" x14ac:dyDescent="0.25">
      <c r="B382" s="95" t="s">
        <v>574</v>
      </c>
      <c r="C382" s="92"/>
      <c r="D382" s="92"/>
      <c r="E382" s="92"/>
      <c r="F382" s="106"/>
      <c r="G382" s="92"/>
      <c r="H382" s="104"/>
      <c r="I382" s="102" t="s">
        <v>188</v>
      </c>
    </row>
    <row r="383" spans="2:9" x14ac:dyDescent="0.25">
      <c r="B383" s="95" t="s">
        <v>575</v>
      </c>
      <c r="C383" s="92"/>
      <c r="D383" s="92"/>
      <c r="E383" s="92"/>
      <c r="F383" s="106"/>
      <c r="G383" s="92"/>
      <c r="H383" s="104"/>
      <c r="I383" s="102" t="s">
        <v>188</v>
      </c>
    </row>
    <row r="384" spans="2:9" x14ac:dyDescent="0.25">
      <c r="B384" s="95" t="s">
        <v>576</v>
      </c>
      <c r="C384" s="92"/>
      <c r="D384" s="92"/>
      <c r="E384" s="92"/>
      <c r="F384" s="106"/>
      <c r="G384" s="92"/>
      <c r="H384" s="104"/>
      <c r="I384" s="102" t="s">
        <v>188</v>
      </c>
    </row>
    <row r="385" spans="2:9" x14ac:dyDescent="0.25">
      <c r="B385" s="95" t="s">
        <v>577</v>
      </c>
      <c r="C385" s="92"/>
      <c r="D385" s="92"/>
      <c r="E385" s="92"/>
      <c r="F385" s="106"/>
      <c r="G385" s="92"/>
      <c r="H385" s="104"/>
      <c r="I385" s="102" t="s">
        <v>188</v>
      </c>
    </row>
    <row r="386" spans="2:9" x14ac:dyDescent="0.25">
      <c r="B386" s="95" t="s">
        <v>578</v>
      </c>
      <c r="C386" s="92"/>
      <c r="D386" s="92"/>
      <c r="E386" s="92"/>
      <c r="F386" s="106"/>
      <c r="G386" s="92"/>
      <c r="H386" s="104"/>
      <c r="I386" s="102" t="s">
        <v>188</v>
      </c>
    </row>
    <row r="387" spans="2:9" x14ac:dyDescent="0.25">
      <c r="B387" s="95" t="s">
        <v>579</v>
      </c>
      <c r="C387" s="92"/>
      <c r="D387" s="92"/>
      <c r="E387" s="92"/>
      <c r="F387" s="106"/>
      <c r="G387" s="92"/>
      <c r="H387" s="104"/>
      <c r="I387" s="102" t="s">
        <v>188</v>
      </c>
    </row>
    <row r="388" spans="2:9" x14ac:dyDescent="0.25">
      <c r="B388" s="95" t="s">
        <v>580</v>
      </c>
      <c r="C388" s="92"/>
      <c r="D388" s="92"/>
      <c r="E388" s="92"/>
      <c r="F388" s="106"/>
      <c r="G388" s="92"/>
      <c r="H388" s="104"/>
      <c r="I388" s="102" t="s">
        <v>188</v>
      </c>
    </row>
    <row r="389" spans="2:9" x14ac:dyDescent="0.25">
      <c r="B389" s="95" t="s">
        <v>581</v>
      </c>
      <c r="C389" s="92"/>
      <c r="D389" s="92"/>
      <c r="E389" s="92"/>
      <c r="F389" s="106"/>
      <c r="G389" s="92"/>
      <c r="H389" s="104"/>
      <c r="I389" s="102" t="s">
        <v>188</v>
      </c>
    </row>
    <row r="390" spans="2:9" x14ac:dyDescent="0.25">
      <c r="B390" s="95" t="s">
        <v>582</v>
      </c>
      <c r="C390" s="92"/>
      <c r="D390" s="92"/>
      <c r="E390" s="92"/>
      <c r="F390" s="106"/>
      <c r="G390" s="92"/>
      <c r="H390" s="104"/>
      <c r="I390" s="102" t="s">
        <v>188</v>
      </c>
    </row>
    <row r="391" spans="2:9" x14ac:dyDescent="0.25">
      <c r="B391" s="95" t="s">
        <v>583</v>
      </c>
      <c r="C391" s="92"/>
      <c r="D391" s="92"/>
      <c r="E391" s="92"/>
      <c r="F391" s="106"/>
      <c r="G391" s="92"/>
      <c r="H391" s="104"/>
      <c r="I391" s="102" t="s">
        <v>188</v>
      </c>
    </row>
    <row r="392" spans="2:9" x14ac:dyDescent="0.25">
      <c r="B392" s="95" t="s">
        <v>584</v>
      </c>
      <c r="C392" s="92"/>
      <c r="D392" s="92"/>
      <c r="E392" s="92"/>
      <c r="F392" s="106"/>
      <c r="G392" s="92"/>
      <c r="H392" s="104"/>
      <c r="I392" s="102" t="s">
        <v>188</v>
      </c>
    </row>
    <row r="393" spans="2:9" x14ac:dyDescent="0.25">
      <c r="B393" s="95" t="s">
        <v>585</v>
      </c>
      <c r="C393" s="92"/>
      <c r="D393" s="92"/>
      <c r="E393" s="92"/>
      <c r="F393" s="106"/>
      <c r="G393" s="92"/>
      <c r="H393" s="104"/>
      <c r="I393" s="102" t="s">
        <v>188</v>
      </c>
    </row>
    <row r="394" spans="2:9" x14ac:dyDescent="0.25">
      <c r="B394" s="95" t="s">
        <v>586</v>
      </c>
      <c r="C394" s="92"/>
      <c r="D394" s="92"/>
      <c r="E394" s="92"/>
      <c r="F394" s="106"/>
      <c r="G394" s="92"/>
      <c r="H394" s="104"/>
      <c r="I394" s="102" t="s">
        <v>188</v>
      </c>
    </row>
    <row r="395" spans="2:9" x14ac:dyDescent="0.25">
      <c r="B395" s="95" t="s">
        <v>587</v>
      </c>
      <c r="C395" s="92"/>
      <c r="D395" s="92"/>
      <c r="E395" s="92"/>
      <c r="F395" s="106"/>
      <c r="G395" s="92"/>
      <c r="H395" s="104"/>
      <c r="I395" s="102" t="s">
        <v>188</v>
      </c>
    </row>
    <row r="396" spans="2:9" x14ac:dyDescent="0.25">
      <c r="B396" s="95" t="s">
        <v>588</v>
      </c>
      <c r="C396" s="92"/>
      <c r="D396" s="92"/>
      <c r="E396" s="92"/>
      <c r="F396" s="106"/>
      <c r="G396" s="92"/>
      <c r="H396" s="104"/>
      <c r="I396" s="102" t="s">
        <v>188</v>
      </c>
    </row>
    <row r="397" spans="2:9" x14ac:dyDescent="0.25">
      <c r="B397" s="95" t="s">
        <v>589</v>
      </c>
      <c r="C397" s="92"/>
      <c r="D397" s="92"/>
      <c r="E397" s="92"/>
      <c r="F397" s="106"/>
      <c r="G397" s="92"/>
      <c r="H397" s="104"/>
      <c r="I397" s="102" t="s">
        <v>188</v>
      </c>
    </row>
    <row r="398" spans="2:9" x14ac:dyDescent="0.25">
      <c r="B398" s="95" t="s">
        <v>590</v>
      </c>
      <c r="C398" s="92"/>
      <c r="D398" s="92"/>
      <c r="E398" s="92"/>
      <c r="F398" s="106"/>
      <c r="G398" s="92"/>
      <c r="H398" s="104"/>
      <c r="I398" s="102" t="s">
        <v>188</v>
      </c>
    </row>
    <row r="399" spans="2:9" x14ac:dyDescent="0.25">
      <c r="B399" s="95" t="s">
        <v>591</v>
      </c>
      <c r="C399" s="92"/>
      <c r="D399" s="92"/>
      <c r="E399" s="92"/>
      <c r="F399" s="106"/>
      <c r="G399" s="92"/>
      <c r="H399" s="104"/>
      <c r="I399" s="102" t="s">
        <v>188</v>
      </c>
    </row>
    <row r="400" spans="2:9" x14ac:dyDescent="0.25">
      <c r="B400" s="95" t="s">
        <v>592</v>
      </c>
      <c r="C400" s="92"/>
      <c r="D400" s="92"/>
      <c r="E400" s="92"/>
      <c r="F400" s="106"/>
      <c r="G400" s="92"/>
      <c r="H400" s="104"/>
      <c r="I400" s="102" t="s">
        <v>188</v>
      </c>
    </row>
    <row r="401" spans="2:9" x14ac:dyDescent="0.25">
      <c r="B401" s="95" t="s">
        <v>593</v>
      </c>
      <c r="C401" s="92"/>
      <c r="D401" s="92"/>
      <c r="E401" s="92"/>
      <c r="F401" s="106"/>
      <c r="G401" s="92"/>
      <c r="H401" s="104"/>
      <c r="I401" s="102" t="s">
        <v>188</v>
      </c>
    </row>
    <row r="402" spans="2:9" x14ac:dyDescent="0.25">
      <c r="B402" s="95" t="s">
        <v>594</v>
      </c>
      <c r="C402" s="92"/>
      <c r="D402" s="92"/>
      <c r="E402" s="92"/>
      <c r="F402" s="106"/>
      <c r="G402" s="92"/>
      <c r="H402" s="104"/>
      <c r="I402" s="102" t="s">
        <v>188</v>
      </c>
    </row>
    <row r="403" spans="2:9" x14ac:dyDescent="0.25">
      <c r="B403" s="95" t="s">
        <v>595</v>
      </c>
      <c r="C403" s="92"/>
      <c r="D403" s="92"/>
      <c r="E403" s="92"/>
      <c r="F403" s="106"/>
      <c r="G403" s="92"/>
      <c r="H403" s="104"/>
      <c r="I403" s="102" t="s">
        <v>188</v>
      </c>
    </row>
    <row r="404" spans="2:9" x14ac:dyDescent="0.25">
      <c r="B404" s="95" t="s">
        <v>596</v>
      </c>
      <c r="C404" s="92"/>
      <c r="D404" s="92"/>
      <c r="E404" s="92"/>
      <c r="F404" s="106"/>
      <c r="G404" s="92"/>
      <c r="H404" s="104"/>
      <c r="I404" s="102" t="s">
        <v>188</v>
      </c>
    </row>
    <row r="405" spans="2:9" x14ac:dyDescent="0.25">
      <c r="B405" s="95" t="s">
        <v>597</v>
      </c>
      <c r="C405" s="92"/>
      <c r="D405" s="92"/>
      <c r="E405" s="92"/>
      <c r="F405" s="106"/>
      <c r="G405" s="92"/>
      <c r="H405" s="104"/>
      <c r="I405" s="102" t="s">
        <v>188</v>
      </c>
    </row>
  </sheetData>
  <sheetProtection algorithmName="SHA-512" hashValue="Szn71ySp0OLyQhp4f1NHEBDs5Pcs/HN59Dz34yO8UNCGCmo3AD1Rn0PpllFvnzGb5G2EIM8g2r/S8GfW1cg9Lg==" saltValue="SOnpWnN/TCQDeaWMAW3UPw==" spinCount="100000" sheet="1" objects="1" scenarios="1"/>
  <mergeCells count="7">
    <mergeCell ref="I1:I4"/>
    <mergeCell ref="F1:G1"/>
    <mergeCell ref="F2:G2"/>
    <mergeCell ref="B1:E2"/>
    <mergeCell ref="C3:D3"/>
    <mergeCell ref="C4:D4"/>
    <mergeCell ref="E3:H4"/>
  </mergeCells>
  <dataValidations count="5">
    <dataValidation type="custom" allowBlank="1" showInputMessage="1" showErrorMessage="1" errorTitle="CUSTOMER NAME" error="Already Exist/Present" sqref="C1:C406 C408:C1048576">
      <formula1>COUNTIF(C:C,C1)=1</formula1>
    </dataValidation>
    <dataValidation type="custom" allowBlank="1" showInputMessage="1" showErrorMessage="1" errorTitle="CUSTOMER ID" error="Already Exists/Present" sqref="B1:B1048576 C407:I407">
      <formula1>COUNTIF(B:B,B1)=1</formula1>
    </dataValidation>
    <dataValidation type="whole" allowBlank="1" showInputMessage="1" showErrorMessage="1" sqref="G6:G406 G408:G1048576">
      <formula1>1</formula1>
      <formula2>999999</formula2>
    </dataValidation>
    <dataValidation type="custom" allowBlank="1" showInputMessage="1" showErrorMessage="1" errorTitle="Mobile Number Error" error="Mobile Number Should be 10 digits only" sqref="F1:F5">
      <formula1>AND(LEN(E1)=10,ISNUMBER(E1))</formula1>
    </dataValidation>
    <dataValidation type="custom" allowBlank="1" showInputMessage="1" showErrorMessage="1" errorTitle="Mobile Number Error" error="Mobile Number Should be 10 digits only" sqref="F6:F406 F408:F1048576">
      <formula1>AND(LEN(F6)=10,ISNUMBER(F6))</formula1>
    </dataValidation>
  </dataValidations>
  <hyperlinks>
    <hyperlink ref="I6" location="'AB AHAD MIR'!F8" display="CLICK ME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Y409"/>
  <sheetViews>
    <sheetView tabSelected="1" workbookViewId="0">
      <pane xSplit="6" ySplit="9" topLeftCell="G359" activePane="bottomRight" state="frozen"/>
      <selection pane="topRight" activeCell="G1" sqref="G1"/>
      <selection pane="bottomLeft" activeCell="A10" sqref="A10"/>
      <selection pane="bottomRight" activeCell="M3" sqref="M3"/>
    </sheetView>
  </sheetViews>
  <sheetFormatPr defaultRowHeight="15" x14ac:dyDescent="0.25"/>
  <cols>
    <col min="1" max="1" width="2.140625" customWidth="1"/>
    <col min="2" max="2" width="8.5703125" bestFit="1" customWidth="1"/>
    <col min="3" max="3" width="10.7109375" bestFit="1" customWidth="1"/>
    <col min="4" max="4" width="8.140625" bestFit="1" customWidth="1"/>
    <col min="5" max="5" width="8" bestFit="1" customWidth="1"/>
    <col min="6" max="6" width="12.140625" bestFit="1" customWidth="1"/>
    <col min="7" max="7" width="10.5703125" bestFit="1" customWidth="1"/>
    <col min="8" max="8" width="7.85546875" bestFit="1" customWidth="1"/>
    <col min="9" max="9" width="10.7109375" customWidth="1"/>
    <col min="10" max="10" width="12.85546875" bestFit="1" customWidth="1"/>
    <col min="11" max="11" width="6.85546875" bestFit="1" customWidth="1"/>
    <col min="13" max="13" width="11" bestFit="1" customWidth="1"/>
    <col min="14" max="14" width="9.5703125" bestFit="1" customWidth="1"/>
    <col min="15" max="15" width="11.28515625" customWidth="1"/>
    <col min="16" max="16" width="17.85546875" customWidth="1"/>
    <col min="17" max="17" width="11.7109375" bestFit="1" customWidth="1"/>
    <col min="19" max="19" width="11.42578125" bestFit="1" customWidth="1"/>
    <col min="20" max="20" width="17.85546875" customWidth="1"/>
    <col min="21" max="21" width="11.7109375" bestFit="1" customWidth="1"/>
    <col min="23" max="23" width="11.28515625" customWidth="1"/>
    <col min="24" max="24" width="17.85546875" bestFit="1" customWidth="1"/>
    <col min="25" max="25" width="11.7109375" bestFit="1" customWidth="1"/>
  </cols>
  <sheetData>
    <row r="1" spans="2:25" ht="15.75" thickBot="1" x14ac:dyDescent="0.3">
      <c r="B1" s="181" t="s">
        <v>195</v>
      </c>
      <c r="C1" s="182"/>
      <c r="D1" s="221" t="str">
        <f>DASHBOARD!$B$6</f>
        <v>C_1</v>
      </c>
      <c r="E1" s="221"/>
      <c r="F1" s="222"/>
      <c r="G1" s="111"/>
      <c r="H1" s="205" t="s">
        <v>185</v>
      </c>
      <c r="I1" s="206"/>
      <c r="J1" s="107" t="str">
        <f>DASHBOARD!$H$1</f>
        <v>2019-2020</v>
      </c>
      <c r="K1" s="116"/>
      <c r="W1" s="202" t="s">
        <v>1023</v>
      </c>
      <c r="X1" s="203"/>
      <c r="Y1" s="204"/>
    </row>
    <row r="2" spans="2:25" ht="15.75" thickBot="1" x14ac:dyDescent="0.3">
      <c r="B2" s="215" t="s">
        <v>196</v>
      </c>
      <c r="C2" s="216"/>
      <c r="D2" s="223" t="str">
        <f>INDEX(DASHBOARD!$C$6:$C$405,MATCH('AB AHAD MIR'!$D$1:$F$1,DASHBOARD!$B$6:$B$405,0))</f>
        <v>AB AHAD MIR BHAI</v>
      </c>
      <c r="E2" s="223"/>
      <c r="F2" s="224"/>
      <c r="G2" s="112"/>
      <c r="H2" s="207" t="s">
        <v>186</v>
      </c>
      <c r="I2" s="208"/>
      <c r="J2" s="108">
        <f ca="1">TODAY()</f>
        <v>43928</v>
      </c>
      <c r="K2" s="117"/>
      <c r="O2" s="202" t="s">
        <v>1021</v>
      </c>
      <c r="P2" s="203"/>
      <c r="Q2" s="204"/>
      <c r="S2" s="202" t="s">
        <v>1022</v>
      </c>
      <c r="T2" s="203"/>
      <c r="U2" s="204"/>
      <c r="W2" s="166" t="s">
        <v>1005</v>
      </c>
      <c r="X2" s="167" t="s">
        <v>1019</v>
      </c>
    </row>
    <row r="3" spans="2:25" ht="15.75" thickBot="1" x14ac:dyDescent="0.3">
      <c r="B3" s="217" t="s">
        <v>183</v>
      </c>
      <c r="C3" s="218"/>
      <c r="D3" s="225" t="str">
        <f>INDEX(DASHBOARD!$E$6:$E$405,MATCH('AB AHAD MIR'!$D$1:$F$1,DASHBOARD!$B$6:$B$405,0))</f>
        <v>Jammu &amp; Kashmir</v>
      </c>
      <c r="E3" s="225"/>
      <c r="F3" s="226"/>
      <c r="G3" s="112"/>
      <c r="H3" s="112"/>
      <c r="I3" s="112"/>
      <c r="J3" s="112"/>
      <c r="K3" s="117"/>
      <c r="O3" s="166" t="s">
        <v>1005</v>
      </c>
      <c r="P3" s="167" t="s">
        <v>1019</v>
      </c>
      <c r="Q3" s="162"/>
      <c r="S3" s="166" t="s">
        <v>1005</v>
      </c>
      <c r="T3" s="167" t="s">
        <v>1019</v>
      </c>
      <c r="U3" s="162"/>
      <c r="W3" s="166" t="s">
        <v>174</v>
      </c>
      <c r="X3" s="167" t="s">
        <v>1019</v>
      </c>
      <c r="Y3" s="162"/>
    </row>
    <row r="4" spans="2:25" ht="15.75" thickBot="1" x14ac:dyDescent="0.3">
      <c r="B4" s="219" t="s">
        <v>163</v>
      </c>
      <c r="C4" s="220"/>
      <c r="D4" s="227" t="str">
        <f>INDEX(DASHBOARD!$D$6:$D$405,MATCH('AB AHAD MIR'!$D$1:$F$1,DASHBOARD!$B$6:$B$405,0))</f>
        <v>KULIGAM</v>
      </c>
      <c r="E4" s="227"/>
      <c r="F4" s="228"/>
      <c r="G4" s="112"/>
      <c r="H4" s="209" t="s">
        <v>190</v>
      </c>
      <c r="I4" s="210"/>
      <c r="J4" s="129">
        <v>392206</v>
      </c>
      <c r="K4" s="117"/>
      <c r="O4" s="199"/>
      <c r="P4" s="200"/>
      <c r="Q4" s="201"/>
      <c r="S4" s="163"/>
      <c r="T4" s="164"/>
      <c r="U4" s="165"/>
      <c r="W4" s="163"/>
      <c r="X4" s="164"/>
      <c r="Y4" s="165"/>
    </row>
    <row r="5" spans="2:25" ht="15.75" thickBot="1" x14ac:dyDescent="0.3">
      <c r="B5" s="211" t="s">
        <v>189</v>
      </c>
      <c r="C5" s="212"/>
      <c r="D5" s="229">
        <f>INDEX(DASHBOARD!$F$6:$F$405,MATCH('AB AHAD MIR'!$D$1:$F$1,DASHBOARD!$B$6:$B$405,0))</f>
        <v>9545202564</v>
      </c>
      <c r="E5" s="229"/>
      <c r="F5" s="230"/>
      <c r="G5" s="112"/>
      <c r="H5" s="211" t="s">
        <v>192</v>
      </c>
      <c r="I5" s="212"/>
      <c r="J5" s="130">
        <f>SUM($F$10:$F$409)</f>
        <v>5959741</v>
      </c>
      <c r="K5" s="117"/>
      <c r="O5" s="170" t="s">
        <v>1020</v>
      </c>
      <c r="P5" s="173" t="s">
        <v>1004</v>
      </c>
      <c r="Q5" s="167" t="s">
        <v>1003</v>
      </c>
      <c r="S5" s="170" t="s">
        <v>1020</v>
      </c>
      <c r="T5" s="159" t="s">
        <v>1003</v>
      </c>
      <c r="W5" s="170" t="s">
        <v>1020</v>
      </c>
      <c r="X5" s="159" t="s">
        <v>1004</v>
      </c>
    </row>
    <row r="6" spans="2:25" ht="15.75" thickBot="1" x14ac:dyDescent="0.3">
      <c r="B6" s="114"/>
      <c r="C6" s="112"/>
      <c r="D6" s="112"/>
      <c r="E6" s="112"/>
      <c r="F6" s="112"/>
      <c r="G6" s="112"/>
      <c r="H6" s="213" t="s">
        <v>193</v>
      </c>
      <c r="I6" s="214"/>
      <c r="J6" s="131">
        <f>SUM($G$10:$G$409)</f>
        <v>1180000</v>
      </c>
      <c r="K6" s="117"/>
      <c r="O6" s="171" t="s">
        <v>1007</v>
      </c>
      <c r="P6" s="168"/>
      <c r="Q6" s="160"/>
      <c r="S6" s="172" t="s">
        <v>1010</v>
      </c>
      <c r="T6" s="175">
        <v>5457741</v>
      </c>
      <c r="W6" s="171" t="s">
        <v>1010</v>
      </c>
      <c r="X6" s="175">
        <v>265000</v>
      </c>
    </row>
    <row r="7" spans="2:25" ht="15.75" thickBot="1" x14ac:dyDescent="0.3">
      <c r="B7" s="114"/>
      <c r="C7" s="112"/>
      <c r="D7" s="112"/>
      <c r="E7" s="112"/>
      <c r="F7" s="112"/>
      <c r="G7" s="112"/>
      <c r="H7" s="181" t="s">
        <v>191</v>
      </c>
      <c r="I7" s="182"/>
      <c r="J7" s="132">
        <f>SUM($J$4:$J$5)-J6</f>
        <v>5171947</v>
      </c>
      <c r="K7" s="117"/>
      <c r="O7" s="171" t="s">
        <v>1008</v>
      </c>
      <c r="P7" s="168"/>
      <c r="Q7" s="160"/>
      <c r="S7" s="174" t="s">
        <v>999</v>
      </c>
      <c r="T7" s="175">
        <v>5100000</v>
      </c>
      <c r="W7" s="172" t="s">
        <v>1011</v>
      </c>
      <c r="X7" s="175">
        <v>400000</v>
      </c>
    </row>
    <row r="8" spans="2:25" ht="15.75" thickBot="1" x14ac:dyDescent="0.3">
      <c r="B8" s="115"/>
      <c r="C8" s="113"/>
      <c r="D8" s="113"/>
      <c r="E8" s="113"/>
      <c r="F8" s="113"/>
      <c r="G8" s="113"/>
      <c r="H8" s="113"/>
      <c r="I8" s="113"/>
      <c r="J8" s="113"/>
      <c r="K8" s="118"/>
      <c r="O8" s="171" t="s">
        <v>1009</v>
      </c>
      <c r="P8" s="168"/>
      <c r="Q8" s="160"/>
      <c r="S8" s="174" t="s">
        <v>1000</v>
      </c>
      <c r="T8" s="175">
        <v>357741</v>
      </c>
      <c r="W8" s="172" t="s">
        <v>1002</v>
      </c>
      <c r="X8" s="176">
        <v>665000</v>
      </c>
    </row>
    <row r="9" spans="2:25" ht="15.75" thickBot="1" x14ac:dyDescent="0.3">
      <c r="B9" s="109" t="s">
        <v>197</v>
      </c>
      <c r="C9" s="110" t="s">
        <v>166</v>
      </c>
      <c r="D9" s="110" t="s">
        <v>172</v>
      </c>
      <c r="E9" s="110" t="s">
        <v>194</v>
      </c>
      <c r="F9" s="110" t="s">
        <v>168</v>
      </c>
      <c r="G9" s="110" t="s">
        <v>169</v>
      </c>
      <c r="H9" s="110" t="s">
        <v>174</v>
      </c>
      <c r="I9" s="110" t="s">
        <v>998</v>
      </c>
      <c r="J9" s="110" t="s">
        <v>156</v>
      </c>
      <c r="K9" s="147" t="s">
        <v>167</v>
      </c>
      <c r="L9" s="157" t="s">
        <v>1006</v>
      </c>
      <c r="M9" s="158" t="s">
        <v>1005</v>
      </c>
      <c r="N9" s="138"/>
      <c r="O9" s="171" t="s">
        <v>1010</v>
      </c>
      <c r="P9" s="168">
        <v>280000</v>
      </c>
      <c r="Q9" s="160">
        <v>5457741</v>
      </c>
      <c r="S9" s="172" t="s">
        <v>1011</v>
      </c>
      <c r="T9" s="175">
        <v>300000</v>
      </c>
    </row>
    <row r="10" spans="2:25" ht="15.75" thickBot="1" x14ac:dyDescent="0.3">
      <c r="B10" s="144" t="s">
        <v>598</v>
      </c>
      <c r="C10" s="134">
        <v>43560</v>
      </c>
      <c r="D10" s="119" t="s">
        <v>999</v>
      </c>
      <c r="E10" s="122">
        <v>234</v>
      </c>
      <c r="F10" s="133">
        <v>156741</v>
      </c>
      <c r="G10" s="126"/>
      <c r="H10" s="106"/>
      <c r="I10" s="139"/>
      <c r="J10" s="141">
        <f>($J$4+$F$10)-$G$10</f>
        <v>548947</v>
      </c>
      <c r="K10" s="148" t="str">
        <f>IF(AND(F10&lt;&gt;"",G10&lt;&gt;""),"ERROR","OK")</f>
        <v>OK</v>
      </c>
      <c r="L10" s="155" t="str">
        <f>TEXT(C10,"mmmm")</f>
        <v>April</v>
      </c>
      <c r="M10" s="156">
        <f>YEAR(C10)</f>
        <v>2019</v>
      </c>
      <c r="O10" s="171" t="s">
        <v>1011</v>
      </c>
      <c r="P10" s="168">
        <v>400000</v>
      </c>
      <c r="Q10" s="160">
        <v>300000</v>
      </c>
      <c r="S10" s="174" t="s">
        <v>999</v>
      </c>
      <c r="T10" s="175"/>
    </row>
    <row r="11" spans="2:25" x14ac:dyDescent="0.25">
      <c r="B11" s="144" t="s">
        <v>599</v>
      </c>
      <c r="C11" s="134">
        <v>43561</v>
      </c>
      <c r="D11" s="120" t="s">
        <v>1000</v>
      </c>
      <c r="E11" s="123">
        <v>235</v>
      </c>
      <c r="F11" s="133">
        <v>50000</v>
      </c>
      <c r="G11" s="127"/>
      <c r="H11" s="106"/>
      <c r="I11" s="136"/>
      <c r="J11" s="140">
        <f>($J10+$F11)-$G11</f>
        <v>598947</v>
      </c>
      <c r="K11" s="149" t="str">
        <f t="shared" ref="K11:K74" si="0">IF(AND(F11&lt;&gt;"",G11&lt;&gt;""),"ERROR","OK")</f>
        <v>OK</v>
      </c>
      <c r="L11" s="151" t="str">
        <f t="shared" ref="L11:L74" si="1">TEXT(C11,"mmmm")</f>
        <v>April</v>
      </c>
      <c r="M11" s="152">
        <f t="shared" ref="M11:M74" si="2">YEAR(C11)</f>
        <v>2019</v>
      </c>
      <c r="O11" s="171" t="s">
        <v>1012</v>
      </c>
      <c r="P11" s="168">
        <v>200000</v>
      </c>
      <c r="Q11" s="160">
        <v>200000</v>
      </c>
      <c r="S11" s="174" t="s">
        <v>1000</v>
      </c>
      <c r="T11" s="175">
        <v>300000</v>
      </c>
    </row>
    <row r="12" spans="2:25" ht="15.75" thickBot="1" x14ac:dyDescent="0.3">
      <c r="B12" s="144" t="s">
        <v>600</v>
      </c>
      <c r="C12" s="134">
        <v>43562</v>
      </c>
      <c r="D12" s="119"/>
      <c r="E12" s="123">
        <v>236</v>
      </c>
      <c r="F12" s="133"/>
      <c r="G12" s="127">
        <v>15000</v>
      </c>
      <c r="H12" s="106" t="s">
        <v>175</v>
      </c>
      <c r="I12" s="136">
        <v>123452</v>
      </c>
      <c r="J12" s="140">
        <f t="shared" ref="J12:J75" si="3">($J11+$F12)-$G12</f>
        <v>583947</v>
      </c>
      <c r="K12" s="149" t="str">
        <f t="shared" si="0"/>
        <v>OK</v>
      </c>
      <c r="L12" s="151" t="str">
        <f t="shared" si="1"/>
        <v>April</v>
      </c>
      <c r="M12" s="152">
        <f t="shared" si="2"/>
        <v>2019</v>
      </c>
      <c r="O12" s="171" t="s">
        <v>1013</v>
      </c>
      <c r="P12" s="168">
        <v>300000</v>
      </c>
      <c r="Q12" s="160">
        <v>2000</v>
      </c>
      <c r="S12" s="172" t="s">
        <v>1012</v>
      </c>
      <c r="T12" s="175">
        <v>200000</v>
      </c>
    </row>
    <row r="13" spans="2:25" x14ac:dyDescent="0.25">
      <c r="B13" s="144" t="s">
        <v>601</v>
      </c>
      <c r="C13" s="134">
        <v>43563</v>
      </c>
      <c r="D13" s="120" t="s">
        <v>1000</v>
      </c>
      <c r="E13" s="123">
        <v>237</v>
      </c>
      <c r="F13" s="133">
        <v>1000</v>
      </c>
      <c r="G13" s="127"/>
      <c r="H13" s="106"/>
      <c r="I13" s="136"/>
      <c r="J13" s="140">
        <f t="shared" si="3"/>
        <v>584947</v>
      </c>
      <c r="K13" s="149" t="str">
        <f t="shared" si="0"/>
        <v>OK</v>
      </c>
      <c r="L13" s="151" t="str">
        <f t="shared" si="1"/>
        <v>April</v>
      </c>
      <c r="M13" s="152">
        <f t="shared" si="2"/>
        <v>2019</v>
      </c>
      <c r="O13" s="171" t="s">
        <v>1014</v>
      </c>
      <c r="P13" s="168"/>
      <c r="Q13" s="160"/>
      <c r="S13" s="174" t="s">
        <v>999</v>
      </c>
      <c r="T13" s="175">
        <v>200000</v>
      </c>
    </row>
    <row r="14" spans="2:25" x14ac:dyDescent="0.25">
      <c r="B14" s="144" t="s">
        <v>602</v>
      </c>
      <c r="C14" s="134">
        <v>43564</v>
      </c>
      <c r="D14" s="119" t="s">
        <v>999</v>
      </c>
      <c r="E14" s="123">
        <v>238</v>
      </c>
      <c r="F14" s="133">
        <v>5000000</v>
      </c>
      <c r="G14" s="127"/>
      <c r="H14" s="106"/>
      <c r="I14" s="136"/>
      <c r="J14" s="140">
        <f t="shared" si="3"/>
        <v>5584947</v>
      </c>
      <c r="K14" s="149" t="str">
        <f t="shared" si="0"/>
        <v>OK</v>
      </c>
      <c r="L14" s="151" t="str">
        <f t="shared" si="1"/>
        <v>April</v>
      </c>
      <c r="M14" s="152">
        <f t="shared" si="2"/>
        <v>2019</v>
      </c>
      <c r="O14" s="171" t="s">
        <v>1015</v>
      </c>
      <c r="P14" s="168"/>
      <c r="Q14" s="160"/>
      <c r="S14" s="174" t="s">
        <v>1000</v>
      </c>
      <c r="T14" s="175"/>
    </row>
    <row r="15" spans="2:25" ht="15.75" thickBot="1" x14ac:dyDescent="0.3">
      <c r="B15" s="144" t="s">
        <v>603</v>
      </c>
      <c r="C15" s="134">
        <v>43565</v>
      </c>
      <c r="D15" s="120" t="s">
        <v>1000</v>
      </c>
      <c r="E15" s="123">
        <v>239</v>
      </c>
      <c r="F15" s="133"/>
      <c r="G15" s="127"/>
      <c r="H15" s="106"/>
      <c r="I15" s="136"/>
      <c r="J15" s="140">
        <f t="shared" si="3"/>
        <v>5584947</v>
      </c>
      <c r="K15" s="149" t="str">
        <f t="shared" si="0"/>
        <v>OK</v>
      </c>
      <c r="L15" s="151" t="str">
        <f t="shared" si="1"/>
        <v>April</v>
      </c>
      <c r="M15" s="152">
        <f t="shared" si="2"/>
        <v>2019</v>
      </c>
      <c r="O15" s="171" t="s">
        <v>1016</v>
      </c>
      <c r="P15" s="168"/>
      <c r="Q15" s="160"/>
      <c r="S15" s="172" t="s">
        <v>1013</v>
      </c>
      <c r="T15" s="175">
        <v>2000</v>
      </c>
    </row>
    <row r="16" spans="2:25" x14ac:dyDescent="0.25">
      <c r="B16" s="144" t="s">
        <v>604</v>
      </c>
      <c r="C16" s="134">
        <v>43566</v>
      </c>
      <c r="D16" s="120" t="s">
        <v>1000</v>
      </c>
      <c r="E16" s="123">
        <v>240</v>
      </c>
      <c r="F16" s="133"/>
      <c r="G16" s="127">
        <v>50000</v>
      </c>
      <c r="H16" s="105" t="s">
        <v>175</v>
      </c>
      <c r="I16" s="136"/>
      <c r="J16" s="140">
        <f t="shared" si="3"/>
        <v>5534947</v>
      </c>
      <c r="K16" s="149" t="str">
        <f t="shared" si="0"/>
        <v>OK</v>
      </c>
      <c r="L16" s="151" t="str">
        <f t="shared" si="1"/>
        <v>April</v>
      </c>
      <c r="M16" s="152">
        <f t="shared" si="2"/>
        <v>2019</v>
      </c>
      <c r="O16" s="171" t="s">
        <v>1017</v>
      </c>
      <c r="P16" s="168"/>
      <c r="Q16" s="160"/>
      <c r="S16" s="174" t="s">
        <v>999</v>
      </c>
      <c r="T16" s="175"/>
    </row>
    <row r="17" spans="2:20" ht="15.75" thickBot="1" x14ac:dyDescent="0.3">
      <c r="B17" s="144" t="s">
        <v>605</v>
      </c>
      <c r="C17" s="134">
        <v>43567</v>
      </c>
      <c r="D17" s="119" t="s">
        <v>999</v>
      </c>
      <c r="E17" s="123">
        <v>241</v>
      </c>
      <c r="F17" s="133"/>
      <c r="G17" s="127"/>
      <c r="H17" s="106"/>
      <c r="I17" s="136"/>
      <c r="J17" s="140">
        <f t="shared" si="3"/>
        <v>5534947</v>
      </c>
      <c r="K17" s="149" t="str">
        <f t="shared" si="0"/>
        <v>OK</v>
      </c>
      <c r="L17" s="151" t="str">
        <f t="shared" si="1"/>
        <v>April</v>
      </c>
      <c r="M17" s="152">
        <f t="shared" si="2"/>
        <v>2019</v>
      </c>
      <c r="O17" s="172" t="s">
        <v>1018</v>
      </c>
      <c r="P17" s="168"/>
      <c r="Q17" s="160"/>
      <c r="S17" s="174" t="s">
        <v>1000</v>
      </c>
      <c r="T17" s="175">
        <v>2000</v>
      </c>
    </row>
    <row r="18" spans="2:20" ht="15.75" thickBot="1" x14ac:dyDescent="0.3">
      <c r="B18" s="144" t="s">
        <v>606</v>
      </c>
      <c r="C18" s="134">
        <v>43568</v>
      </c>
      <c r="D18" s="120" t="s">
        <v>1000</v>
      </c>
      <c r="E18" s="123">
        <v>242</v>
      </c>
      <c r="F18" s="133"/>
      <c r="G18" s="127"/>
      <c r="H18" s="106"/>
      <c r="I18" s="136"/>
      <c r="J18" s="140">
        <f t="shared" si="3"/>
        <v>5534947</v>
      </c>
      <c r="K18" s="149" t="str">
        <f t="shared" si="0"/>
        <v>OK</v>
      </c>
      <c r="L18" s="151" t="str">
        <f t="shared" si="1"/>
        <v>April</v>
      </c>
      <c r="M18" s="152">
        <f t="shared" si="2"/>
        <v>2019</v>
      </c>
      <c r="O18" s="172" t="s">
        <v>1002</v>
      </c>
      <c r="P18" s="169">
        <v>1180000</v>
      </c>
      <c r="Q18" s="161">
        <v>5959741</v>
      </c>
      <c r="S18" s="172" t="s">
        <v>1002</v>
      </c>
      <c r="T18" s="176">
        <v>5959741</v>
      </c>
    </row>
    <row r="19" spans="2:20" x14ac:dyDescent="0.25">
      <c r="B19" s="144" t="s">
        <v>607</v>
      </c>
      <c r="C19" s="134">
        <v>43569</v>
      </c>
      <c r="D19" s="119" t="s">
        <v>999</v>
      </c>
      <c r="E19" s="123">
        <v>243</v>
      </c>
      <c r="F19" s="133">
        <v>50000</v>
      </c>
      <c r="G19" s="127"/>
      <c r="H19" s="106"/>
      <c r="I19" s="136"/>
      <c r="J19" s="140">
        <f t="shared" si="3"/>
        <v>5584947</v>
      </c>
      <c r="K19" s="149" t="str">
        <f t="shared" si="0"/>
        <v>OK</v>
      </c>
      <c r="L19" s="151" t="str">
        <f t="shared" si="1"/>
        <v>April</v>
      </c>
      <c r="M19" s="152">
        <f t="shared" si="2"/>
        <v>2019</v>
      </c>
    </row>
    <row r="20" spans="2:20" x14ac:dyDescent="0.25">
      <c r="B20" s="144" t="s">
        <v>608</v>
      </c>
      <c r="C20" s="134">
        <v>43570</v>
      </c>
      <c r="D20" s="120" t="s">
        <v>1000</v>
      </c>
      <c r="E20" s="123">
        <v>244</v>
      </c>
      <c r="F20" s="133"/>
      <c r="G20" s="127"/>
      <c r="H20" s="106"/>
      <c r="I20" s="136"/>
      <c r="J20" s="140">
        <f t="shared" si="3"/>
        <v>5584947</v>
      </c>
      <c r="K20" s="149" t="str">
        <f t="shared" si="0"/>
        <v>OK</v>
      </c>
      <c r="L20" s="151" t="str">
        <f t="shared" si="1"/>
        <v>April</v>
      </c>
      <c r="M20" s="152">
        <f t="shared" si="2"/>
        <v>2019</v>
      </c>
    </row>
    <row r="21" spans="2:20" x14ac:dyDescent="0.25">
      <c r="B21" s="144" t="s">
        <v>609</v>
      </c>
      <c r="C21" s="134">
        <v>43571</v>
      </c>
      <c r="D21" s="120" t="s">
        <v>1000</v>
      </c>
      <c r="E21" s="123">
        <v>245</v>
      </c>
      <c r="F21" s="133"/>
      <c r="G21" s="127"/>
      <c r="H21" s="106"/>
      <c r="I21" s="136"/>
      <c r="J21" s="140">
        <f t="shared" si="3"/>
        <v>5584947</v>
      </c>
      <c r="K21" s="149" t="str">
        <f t="shared" si="0"/>
        <v>OK</v>
      </c>
      <c r="L21" s="151" t="str">
        <f t="shared" si="1"/>
        <v>April</v>
      </c>
      <c r="M21" s="152">
        <f t="shared" si="2"/>
        <v>2019</v>
      </c>
    </row>
    <row r="22" spans="2:20" x14ac:dyDescent="0.25">
      <c r="B22" s="144" t="s">
        <v>610</v>
      </c>
      <c r="C22" s="134">
        <v>43572</v>
      </c>
      <c r="D22" s="119" t="s">
        <v>999</v>
      </c>
      <c r="E22" s="123">
        <v>246</v>
      </c>
      <c r="F22" s="133"/>
      <c r="G22" s="127">
        <v>15000</v>
      </c>
      <c r="H22" s="105" t="s">
        <v>175</v>
      </c>
      <c r="I22" s="136"/>
      <c r="J22" s="140">
        <f t="shared" si="3"/>
        <v>5569947</v>
      </c>
      <c r="K22" s="149" t="str">
        <f t="shared" si="0"/>
        <v>OK</v>
      </c>
      <c r="L22" s="151" t="str">
        <f t="shared" si="1"/>
        <v>April</v>
      </c>
      <c r="M22" s="152">
        <f t="shared" si="2"/>
        <v>2019</v>
      </c>
    </row>
    <row r="23" spans="2:20" x14ac:dyDescent="0.25">
      <c r="B23" s="144" t="s">
        <v>611</v>
      </c>
      <c r="C23" s="134">
        <v>43573</v>
      </c>
      <c r="D23" s="120" t="s">
        <v>1000</v>
      </c>
      <c r="E23" s="123">
        <v>247</v>
      </c>
      <c r="F23" s="133"/>
      <c r="G23" s="127"/>
      <c r="H23" s="106"/>
      <c r="I23" s="136"/>
      <c r="J23" s="140">
        <f t="shared" si="3"/>
        <v>5569947</v>
      </c>
      <c r="K23" s="149" t="str">
        <f t="shared" si="0"/>
        <v>OK</v>
      </c>
      <c r="L23" s="151" t="str">
        <f t="shared" si="1"/>
        <v>April</v>
      </c>
      <c r="M23" s="152">
        <f t="shared" si="2"/>
        <v>2019</v>
      </c>
    </row>
    <row r="24" spans="2:20" x14ac:dyDescent="0.25">
      <c r="B24" s="144" t="s">
        <v>612</v>
      </c>
      <c r="C24" s="134">
        <v>43574</v>
      </c>
      <c r="D24" s="119" t="s">
        <v>999</v>
      </c>
      <c r="E24" s="123">
        <v>248</v>
      </c>
      <c r="F24" s="133"/>
      <c r="G24" s="127"/>
      <c r="H24" s="106"/>
      <c r="I24" s="136"/>
      <c r="J24" s="140">
        <f t="shared" si="3"/>
        <v>5569947</v>
      </c>
      <c r="K24" s="149" t="str">
        <f t="shared" si="0"/>
        <v>OK</v>
      </c>
      <c r="L24" s="151" t="str">
        <f t="shared" si="1"/>
        <v>April</v>
      </c>
      <c r="M24" s="152">
        <f t="shared" si="2"/>
        <v>2019</v>
      </c>
    </row>
    <row r="25" spans="2:20" x14ac:dyDescent="0.25">
      <c r="B25" s="144" t="s">
        <v>613</v>
      </c>
      <c r="C25" s="134">
        <v>43575</v>
      </c>
      <c r="D25" s="120" t="s">
        <v>1000</v>
      </c>
      <c r="E25" s="123">
        <v>249</v>
      </c>
      <c r="F25" s="133"/>
      <c r="G25" s="127">
        <v>50000</v>
      </c>
      <c r="H25" s="106" t="s">
        <v>176</v>
      </c>
      <c r="I25" s="136">
        <v>123453</v>
      </c>
      <c r="J25" s="140">
        <f t="shared" si="3"/>
        <v>5519947</v>
      </c>
      <c r="K25" s="149" t="str">
        <f t="shared" si="0"/>
        <v>OK</v>
      </c>
      <c r="L25" s="151" t="str">
        <f t="shared" si="1"/>
        <v>April</v>
      </c>
      <c r="M25" s="152">
        <f t="shared" si="2"/>
        <v>2019</v>
      </c>
    </row>
    <row r="26" spans="2:20" x14ac:dyDescent="0.25">
      <c r="B26" s="144" t="s">
        <v>614</v>
      </c>
      <c r="C26" s="134">
        <v>43576</v>
      </c>
      <c r="D26" s="120" t="s">
        <v>1000</v>
      </c>
      <c r="E26" s="123">
        <v>250</v>
      </c>
      <c r="F26" s="133"/>
      <c r="G26" s="127"/>
      <c r="H26" s="106"/>
      <c r="I26" s="136"/>
      <c r="J26" s="140">
        <f t="shared" si="3"/>
        <v>5519947</v>
      </c>
      <c r="K26" s="149" t="str">
        <f t="shared" si="0"/>
        <v>OK</v>
      </c>
      <c r="L26" s="151" t="str">
        <f t="shared" si="1"/>
        <v>April</v>
      </c>
      <c r="M26" s="152">
        <f t="shared" si="2"/>
        <v>2019</v>
      </c>
    </row>
    <row r="27" spans="2:20" x14ac:dyDescent="0.25">
      <c r="B27" s="144" t="s">
        <v>615</v>
      </c>
      <c r="C27" s="134">
        <v>43577</v>
      </c>
      <c r="D27" s="119" t="s">
        <v>999</v>
      </c>
      <c r="E27" s="123">
        <v>251</v>
      </c>
      <c r="F27" s="133">
        <v>50000</v>
      </c>
      <c r="G27" s="127"/>
      <c r="H27" s="106"/>
      <c r="I27" s="136"/>
      <c r="J27" s="140">
        <f t="shared" si="3"/>
        <v>5569947</v>
      </c>
      <c r="K27" s="149" t="str">
        <f t="shared" si="0"/>
        <v>OK</v>
      </c>
      <c r="L27" s="151" t="str">
        <f t="shared" si="1"/>
        <v>April</v>
      </c>
      <c r="M27" s="152">
        <f t="shared" si="2"/>
        <v>2019</v>
      </c>
    </row>
    <row r="28" spans="2:20" x14ac:dyDescent="0.25">
      <c r="B28" s="144" t="s">
        <v>616</v>
      </c>
      <c r="C28" s="134">
        <v>43578</v>
      </c>
      <c r="D28" s="120" t="s">
        <v>1000</v>
      </c>
      <c r="E28" s="123">
        <v>252</v>
      </c>
      <c r="F28" s="133"/>
      <c r="G28" s="127"/>
      <c r="H28" s="106"/>
      <c r="I28" s="136"/>
      <c r="J28" s="140">
        <f t="shared" si="3"/>
        <v>5569947</v>
      </c>
      <c r="K28" s="149" t="str">
        <f t="shared" si="0"/>
        <v>OK</v>
      </c>
      <c r="L28" s="151" t="str">
        <f t="shared" si="1"/>
        <v>April</v>
      </c>
      <c r="M28" s="152">
        <f t="shared" si="2"/>
        <v>2019</v>
      </c>
    </row>
    <row r="29" spans="2:20" x14ac:dyDescent="0.25">
      <c r="B29" s="144" t="s">
        <v>617</v>
      </c>
      <c r="C29" s="134">
        <v>43579</v>
      </c>
      <c r="D29" s="120" t="s">
        <v>1000</v>
      </c>
      <c r="E29" s="123">
        <v>253</v>
      </c>
      <c r="F29" s="133"/>
      <c r="G29" s="127">
        <v>100000</v>
      </c>
      <c r="H29" s="105" t="s">
        <v>175</v>
      </c>
      <c r="I29" s="136"/>
      <c r="J29" s="140">
        <f t="shared" si="3"/>
        <v>5469947</v>
      </c>
      <c r="K29" s="149" t="str">
        <f t="shared" si="0"/>
        <v>OK</v>
      </c>
      <c r="L29" s="151" t="str">
        <f t="shared" si="1"/>
        <v>April</v>
      </c>
      <c r="M29" s="152">
        <f t="shared" si="2"/>
        <v>2019</v>
      </c>
    </row>
    <row r="30" spans="2:20" x14ac:dyDescent="0.25">
      <c r="B30" s="144" t="s">
        <v>618</v>
      </c>
      <c r="C30" s="134">
        <v>43580</v>
      </c>
      <c r="D30" s="119" t="s">
        <v>999</v>
      </c>
      <c r="E30" s="123">
        <v>254</v>
      </c>
      <c r="F30" s="133"/>
      <c r="G30" s="127"/>
      <c r="H30" s="106"/>
      <c r="I30" s="136"/>
      <c r="J30" s="140">
        <f t="shared" si="3"/>
        <v>5469947</v>
      </c>
      <c r="K30" s="149" t="str">
        <f t="shared" si="0"/>
        <v>OK</v>
      </c>
      <c r="L30" s="151" t="str">
        <f t="shared" si="1"/>
        <v>April</v>
      </c>
      <c r="M30" s="152">
        <f t="shared" si="2"/>
        <v>2019</v>
      </c>
    </row>
    <row r="31" spans="2:20" x14ac:dyDescent="0.25">
      <c r="B31" s="144" t="s">
        <v>619</v>
      </c>
      <c r="C31" s="134">
        <v>43581</v>
      </c>
      <c r="D31" s="120" t="s">
        <v>1000</v>
      </c>
      <c r="E31" s="123">
        <v>255</v>
      </c>
      <c r="F31" s="133"/>
      <c r="G31" s="127"/>
      <c r="H31" s="106"/>
      <c r="I31" s="136"/>
      <c r="J31" s="140">
        <f t="shared" si="3"/>
        <v>5469947</v>
      </c>
      <c r="K31" s="149" t="str">
        <f t="shared" si="0"/>
        <v>OK</v>
      </c>
      <c r="L31" s="151" t="str">
        <f t="shared" si="1"/>
        <v>April</v>
      </c>
      <c r="M31" s="152">
        <f t="shared" si="2"/>
        <v>2019</v>
      </c>
    </row>
    <row r="32" spans="2:20" x14ac:dyDescent="0.25">
      <c r="B32" s="144" t="s">
        <v>620</v>
      </c>
      <c r="C32" s="134">
        <v>43582</v>
      </c>
      <c r="D32" s="119" t="s">
        <v>999</v>
      </c>
      <c r="E32" s="123">
        <v>256</v>
      </c>
      <c r="F32" s="133"/>
      <c r="G32" s="127"/>
      <c r="H32" s="106"/>
      <c r="I32" s="136"/>
      <c r="J32" s="140">
        <f t="shared" si="3"/>
        <v>5469947</v>
      </c>
      <c r="K32" s="149" t="str">
        <f t="shared" si="0"/>
        <v>OK</v>
      </c>
      <c r="L32" s="151" t="str">
        <f t="shared" si="1"/>
        <v>April</v>
      </c>
      <c r="M32" s="152">
        <f t="shared" si="2"/>
        <v>2019</v>
      </c>
    </row>
    <row r="33" spans="2:13" x14ac:dyDescent="0.25">
      <c r="B33" s="144" t="s">
        <v>621</v>
      </c>
      <c r="C33" s="134">
        <v>43583</v>
      </c>
      <c r="D33" s="120" t="s">
        <v>1000</v>
      </c>
      <c r="E33" s="123">
        <v>257</v>
      </c>
      <c r="F33" s="133">
        <v>50000</v>
      </c>
      <c r="G33" s="127"/>
      <c r="H33" s="106"/>
      <c r="I33" s="136"/>
      <c r="J33" s="140">
        <f t="shared" si="3"/>
        <v>5519947</v>
      </c>
      <c r="K33" s="149" t="str">
        <f t="shared" si="0"/>
        <v>OK</v>
      </c>
      <c r="L33" s="151" t="str">
        <f t="shared" si="1"/>
        <v>April</v>
      </c>
      <c r="M33" s="152">
        <f t="shared" si="2"/>
        <v>2019</v>
      </c>
    </row>
    <row r="34" spans="2:13" x14ac:dyDescent="0.25">
      <c r="B34" s="144" t="s">
        <v>622</v>
      </c>
      <c r="C34" s="134">
        <v>43584</v>
      </c>
      <c r="D34" s="120" t="s">
        <v>1000</v>
      </c>
      <c r="E34" s="123">
        <v>258</v>
      </c>
      <c r="F34" s="133"/>
      <c r="G34" s="127"/>
      <c r="H34" s="106"/>
      <c r="I34" s="136"/>
      <c r="J34" s="140">
        <f t="shared" si="3"/>
        <v>5519947</v>
      </c>
      <c r="K34" s="149" t="str">
        <f t="shared" si="0"/>
        <v>OK</v>
      </c>
      <c r="L34" s="151" t="str">
        <f t="shared" si="1"/>
        <v>April</v>
      </c>
      <c r="M34" s="152">
        <f t="shared" si="2"/>
        <v>2019</v>
      </c>
    </row>
    <row r="35" spans="2:13" x14ac:dyDescent="0.25">
      <c r="B35" s="144" t="s">
        <v>623</v>
      </c>
      <c r="C35" s="134">
        <v>43585</v>
      </c>
      <c r="D35" s="119" t="s">
        <v>999</v>
      </c>
      <c r="E35" s="123">
        <v>259</v>
      </c>
      <c r="F35" s="133"/>
      <c r="G35" s="127">
        <v>50000</v>
      </c>
      <c r="H35" s="105" t="s">
        <v>175</v>
      </c>
      <c r="I35" s="136"/>
      <c r="J35" s="140">
        <f t="shared" si="3"/>
        <v>5469947</v>
      </c>
      <c r="K35" s="149" t="str">
        <f t="shared" si="0"/>
        <v>OK</v>
      </c>
      <c r="L35" s="151" t="str">
        <f t="shared" si="1"/>
        <v>April</v>
      </c>
      <c r="M35" s="152">
        <f t="shared" si="2"/>
        <v>2019</v>
      </c>
    </row>
    <row r="36" spans="2:13" x14ac:dyDescent="0.25">
      <c r="B36" s="144" t="s">
        <v>624</v>
      </c>
      <c r="C36" s="134">
        <v>43586</v>
      </c>
      <c r="D36" s="120" t="s">
        <v>1000</v>
      </c>
      <c r="E36" s="123">
        <v>260</v>
      </c>
      <c r="F36" s="133"/>
      <c r="G36" s="127"/>
      <c r="H36" s="106"/>
      <c r="I36" s="136"/>
      <c r="J36" s="140">
        <f t="shared" si="3"/>
        <v>5469947</v>
      </c>
      <c r="K36" s="149" t="str">
        <f t="shared" si="0"/>
        <v>OK</v>
      </c>
      <c r="L36" s="151" t="str">
        <f t="shared" si="1"/>
        <v>May</v>
      </c>
      <c r="M36" s="152">
        <f t="shared" si="2"/>
        <v>2019</v>
      </c>
    </row>
    <row r="37" spans="2:13" x14ac:dyDescent="0.25">
      <c r="B37" s="144" t="s">
        <v>625</v>
      </c>
      <c r="C37" s="134">
        <v>43587</v>
      </c>
      <c r="D37" s="119" t="s">
        <v>999</v>
      </c>
      <c r="E37" s="123">
        <v>261</v>
      </c>
      <c r="F37" s="133"/>
      <c r="G37" s="127">
        <v>100000</v>
      </c>
      <c r="H37" s="105" t="s">
        <v>175</v>
      </c>
      <c r="I37" s="136"/>
      <c r="J37" s="140">
        <f t="shared" si="3"/>
        <v>5369947</v>
      </c>
      <c r="K37" s="149" t="str">
        <f t="shared" si="0"/>
        <v>OK</v>
      </c>
      <c r="L37" s="151" t="str">
        <f t="shared" si="1"/>
        <v>May</v>
      </c>
      <c r="M37" s="152">
        <f t="shared" si="2"/>
        <v>2019</v>
      </c>
    </row>
    <row r="38" spans="2:13" x14ac:dyDescent="0.25">
      <c r="B38" s="144" t="s">
        <v>626</v>
      </c>
      <c r="C38" s="134">
        <v>43588</v>
      </c>
      <c r="D38" s="120" t="s">
        <v>1000</v>
      </c>
      <c r="E38" s="123">
        <v>262</v>
      </c>
      <c r="F38" s="133">
        <v>50000</v>
      </c>
      <c r="G38" s="127"/>
      <c r="H38" s="106"/>
      <c r="I38" s="136"/>
      <c r="J38" s="140">
        <f t="shared" si="3"/>
        <v>5419947</v>
      </c>
      <c r="K38" s="149" t="str">
        <f t="shared" si="0"/>
        <v>OK</v>
      </c>
      <c r="L38" s="151" t="str">
        <f t="shared" si="1"/>
        <v>May</v>
      </c>
      <c r="M38" s="152">
        <f t="shared" si="2"/>
        <v>2019</v>
      </c>
    </row>
    <row r="39" spans="2:13" x14ac:dyDescent="0.25">
      <c r="B39" s="144" t="s">
        <v>627</v>
      </c>
      <c r="C39" s="134">
        <v>43589</v>
      </c>
      <c r="D39" s="119" t="s">
        <v>999</v>
      </c>
      <c r="E39" s="123">
        <v>263</v>
      </c>
      <c r="F39" s="133"/>
      <c r="G39" s="127"/>
      <c r="H39" s="106"/>
      <c r="I39" s="136"/>
      <c r="J39" s="140">
        <f t="shared" si="3"/>
        <v>5419947</v>
      </c>
      <c r="K39" s="149" t="str">
        <f t="shared" si="0"/>
        <v>OK</v>
      </c>
      <c r="L39" s="151" t="str">
        <f t="shared" si="1"/>
        <v>May</v>
      </c>
      <c r="M39" s="152">
        <f t="shared" si="2"/>
        <v>2019</v>
      </c>
    </row>
    <row r="40" spans="2:13" x14ac:dyDescent="0.25">
      <c r="B40" s="144" t="s">
        <v>628</v>
      </c>
      <c r="C40" s="134">
        <v>43590</v>
      </c>
      <c r="D40" s="120" t="s">
        <v>1000</v>
      </c>
      <c r="E40" s="123">
        <v>264</v>
      </c>
      <c r="F40" s="133"/>
      <c r="G40" s="127"/>
      <c r="H40" s="106"/>
      <c r="I40" s="136"/>
      <c r="J40" s="140">
        <f t="shared" si="3"/>
        <v>5419947</v>
      </c>
      <c r="K40" s="149" t="str">
        <f t="shared" si="0"/>
        <v>OK</v>
      </c>
      <c r="L40" s="151" t="str">
        <f t="shared" si="1"/>
        <v>May</v>
      </c>
      <c r="M40" s="152">
        <f t="shared" si="2"/>
        <v>2019</v>
      </c>
    </row>
    <row r="41" spans="2:13" x14ac:dyDescent="0.25">
      <c r="B41" s="144" t="s">
        <v>629</v>
      </c>
      <c r="C41" s="134">
        <v>43591</v>
      </c>
      <c r="D41" s="119" t="s">
        <v>999</v>
      </c>
      <c r="E41" s="123">
        <v>265</v>
      </c>
      <c r="F41" s="133"/>
      <c r="G41" s="127"/>
      <c r="H41" s="106"/>
      <c r="I41" s="136"/>
      <c r="J41" s="140">
        <f t="shared" si="3"/>
        <v>5419947</v>
      </c>
      <c r="K41" s="149" t="str">
        <f t="shared" si="0"/>
        <v>OK</v>
      </c>
      <c r="L41" s="151" t="str">
        <f t="shared" si="1"/>
        <v>May</v>
      </c>
      <c r="M41" s="152">
        <f t="shared" si="2"/>
        <v>2019</v>
      </c>
    </row>
    <row r="42" spans="2:13" x14ac:dyDescent="0.25">
      <c r="B42" s="144" t="s">
        <v>630</v>
      </c>
      <c r="C42" s="134">
        <v>43592</v>
      </c>
      <c r="D42" s="120" t="s">
        <v>1000</v>
      </c>
      <c r="E42" s="123">
        <v>266</v>
      </c>
      <c r="F42" s="133"/>
      <c r="G42" s="127"/>
      <c r="H42" s="106"/>
      <c r="I42" s="136"/>
      <c r="J42" s="140">
        <f t="shared" si="3"/>
        <v>5419947</v>
      </c>
      <c r="K42" s="149" t="str">
        <f t="shared" si="0"/>
        <v>OK</v>
      </c>
      <c r="L42" s="151" t="str">
        <f t="shared" si="1"/>
        <v>May</v>
      </c>
      <c r="M42" s="152">
        <f t="shared" si="2"/>
        <v>2019</v>
      </c>
    </row>
    <row r="43" spans="2:13" x14ac:dyDescent="0.25">
      <c r="B43" s="144" t="s">
        <v>631</v>
      </c>
      <c r="C43" s="134">
        <v>43593</v>
      </c>
      <c r="D43" s="119" t="s">
        <v>999</v>
      </c>
      <c r="E43" s="123">
        <v>267</v>
      </c>
      <c r="F43" s="133"/>
      <c r="G43" s="127">
        <v>50000</v>
      </c>
      <c r="H43" s="106" t="s">
        <v>176</v>
      </c>
      <c r="I43" s="136">
        <v>123454</v>
      </c>
      <c r="J43" s="140">
        <f t="shared" si="3"/>
        <v>5369947</v>
      </c>
      <c r="K43" s="149" t="str">
        <f t="shared" si="0"/>
        <v>OK</v>
      </c>
      <c r="L43" s="151" t="str">
        <f t="shared" si="1"/>
        <v>May</v>
      </c>
      <c r="M43" s="152">
        <f t="shared" si="2"/>
        <v>2019</v>
      </c>
    </row>
    <row r="44" spans="2:13" x14ac:dyDescent="0.25">
      <c r="B44" s="144" t="s">
        <v>632</v>
      </c>
      <c r="C44" s="134">
        <v>43594</v>
      </c>
      <c r="D44" s="120" t="s">
        <v>1000</v>
      </c>
      <c r="E44" s="123">
        <v>268</v>
      </c>
      <c r="F44" s="133"/>
      <c r="G44" s="127"/>
      <c r="H44" s="106"/>
      <c r="I44" s="136"/>
      <c r="J44" s="140">
        <f t="shared" si="3"/>
        <v>5369947</v>
      </c>
      <c r="K44" s="149" t="str">
        <f t="shared" si="0"/>
        <v>OK</v>
      </c>
      <c r="L44" s="151" t="str">
        <f t="shared" si="1"/>
        <v>May</v>
      </c>
      <c r="M44" s="152">
        <f t="shared" si="2"/>
        <v>2019</v>
      </c>
    </row>
    <row r="45" spans="2:13" x14ac:dyDescent="0.25">
      <c r="B45" s="144" t="s">
        <v>633</v>
      </c>
      <c r="C45" s="134">
        <v>43595</v>
      </c>
      <c r="D45" s="120" t="s">
        <v>1000</v>
      </c>
      <c r="E45" s="123">
        <v>269</v>
      </c>
      <c r="F45" s="133">
        <v>50000</v>
      </c>
      <c r="G45" s="127"/>
      <c r="H45" s="106"/>
      <c r="I45" s="136"/>
      <c r="J45" s="140">
        <f t="shared" si="3"/>
        <v>5419947</v>
      </c>
      <c r="K45" s="149" t="str">
        <f t="shared" si="0"/>
        <v>OK</v>
      </c>
      <c r="L45" s="151" t="str">
        <f t="shared" si="1"/>
        <v>May</v>
      </c>
      <c r="M45" s="152">
        <f t="shared" si="2"/>
        <v>2019</v>
      </c>
    </row>
    <row r="46" spans="2:13" x14ac:dyDescent="0.25">
      <c r="B46" s="144" t="s">
        <v>634</v>
      </c>
      <c r="C46" s="134">
        <v>43596</v>
      </c>
      <c r="D46" s="119" t="s">
        <v>999</v>
      </c>
      <c r="E46" s="123">
        <v>270</v>
      </c>
      <c r="F46" s="133"/>
      <c r="G46" s="127"/>
      <c r="H46" s="106"/>
      <c r="I46" s="136"/>
      <c r="J46" s="140">
        <f t="shared" si="3"/>
        <v>5419947</v>
      </c>
      <c r="K46" s="149" t="str">
        <f t="shared" si="0"/>
        <v>OK</v>
      </c>
      <c r="L46" s="151" t="str">
        <f t="shared" si="1"/>
        <v>May</v>
      </c>
      <c r="M46" s="152">
        <f t="shared" si="2"/>
        <v>2019</v>
      </c>
    </row>
    <row r="47" spans="2:13" x14ac:dyDescent="0.25">
      <c r="B47" s="144" t="s">
        <v>635</v>
      </c>
      <c r="C47" s="134">
        <v>43597</v>
      </c>
      <c r="D47" s="120" t="s">
        <v>1000</v>
      </c>
      <c r="E47" s="123">
        <v>271</v>
      </c>
      <c r="F47" s="133"/>
      <c r="G47" s="127"/>
      <c r="H47" s="106"/>
      <c r="I47" s="136"/>
      <c r="J47" s="140">
        <f t="shared" si="3"/>
        <v>5419947</v>
      </c>
      <c r="K47" s="149" t="str">
        <f t="shared" si="0"/>
        <v>OK</v>
      </c>
      <c r="L47" s="151" t="str">
        <f t="shared" si="1"/>
        <v>May</v>
      </c>
      <c r="M47" s="152">
        <f t="shared" si="2"/>
        <v>2019</v>
      </c>
    </row>
    <row r="48" spans="2:13" x14ac:dyDescent="0.25">
      <c r="B48" s="144" t="s">
        <v>636</v>
      </c>
      <c r="C48" s="134">
        <v>43598</v>
      </c>
      <c r="D48" s="119" t="s">
        <v>999</v>
      </c>
      <c r="E48" s="123">
        <v>272</v>
      </c>
      <c r="F48" s="133"/>
      <c r="G48" s="127">
        <v>100000</v>
      </c>
      <c r="H48" s="106" t="s">
        <v>176</v>
      </c>
      <c r="I48" s="136">
        <v>123455</v>
      </c>
      <c r="J48" s="140">
        <f t="shared" si="3"/>
        <v>5319947</v>
      </c>
      <c r="K48" s="149" t="str">
        <f t="shared" si="0"/>
        <v>OK</v>
      </c>
      <c r="L48" s="151" t="str">
        <f t="shared" si="1"/>
        <v>May</v>
      </c>
      <c r="M48" s="152">
        <f t="shared" si="2"/>
        <v>2019</v>
      </c>
    </row>
    <row r="49" spans="2:13" x14ac:dyDescent="0.25">
      <c r="B49" s="144" t="s">
        <v>637</v>
      </c>
      <c r="C49" s="134">
        <v>43599</v>
      </c>
      <c r="D49" s="120" t="s">
        <v>1000</v>
      </c>
      <c r="E49" s="123">
        <v>273</v>
      </c>
      <c r="F49" s="133"/>
      <c r="G49" s="127"/>
      <c r="H49" s="106"/>
      <c r="I49" s="136"/>
      <c r="J49" s="140">
        <f t="shared" si="3"/>
        <v>5319947</v>
      </c>
      <c r="K49" s="149" t="str">
        <f t="shared" si="0"/>
        <v>OK</v>
      </c>
      <c r="L49" s="151" t="str">
        <f t="shared" si="1"/>
        <v>May</v>
      </c>
      <c r="M49" s="152">
        <f t="shared" si="2"/>
        <v>2019</v>
      </c>
    </row>
    <row r="50" spans="2:13" x14ac:dyDescent="0.25">
      <c r="B50" s="144" t="s">
        <v>638</v>
      </c>
      <c r="C50" s="134">
        <v>43600</v>
      </c>
      <c r="D50" s="120" t="s">
        <v>1000</v>
      </c>
      <c r="E50" s="123">
        <v>274</v>
      </c>
      <c r="F50" s="133">
        <v>100000</v>
      </c>
      <c r="G50" s="127"/>
      <c r="H50" s="106"/>
      <c r="I50" s="136"/>
      <c r="J50" s="140">
        <f t="shared" si="3"/>
        <v>5419947</v>
      </c>
      <c r="K50" s="149" t="str">
        <f t="shared" si="0"/>
        <v>OK</v>
      </c>
      <c r="L50" s="151" t="str">
        <f t="shared" si="1"/>
        <v>May</v>
      </c>
      <c r="M50" s="152">
        <f t="shared" si="2"/>
        <v>2019</v>
      </c>
    </row>
    <row r="51" spans="2:13" x14ac:dyDescent="0.25">
      <c r="B51" s="144" t="s">
        <v>639</v>
      </c>
      <c r="C51" s="134">
        <v>43601</v>
      </c>
      <c r="D51" s="119" t="s">
        <v>999</v>
      </c>
      <c r="E51" s="123">
        <v>275</v>
      </c>
      <c r="F51" s="133"/>
      <c r="G51" s="127"/>
      <c r="H51" s="106"/>
      <c r="I51" s="136"/>
      <c r="J51" s="140">
        <f t="shared" si="3"/>
        <v>5419947</v>
      </c>
      <c r="K51" s="149" t="str">
        <f t="shared" si="0"/>
        <v>OK</v>
      </c>
      <c r="L51" s="151" t="str">
        <f t="shared" si="1"/>
        <v>May</v>
      </c>
      <c r="M51" s="152">
        <f t="shared" si="2"/>
        <v>2019</v>
      </c>
    </row>
    <row r="52" spans="2:13" x14ac:dyDescent="0.25">
      <c r="B52" s="144" t="s">
        <v>640</v>
      </c>
      <c r="C52" s="134">
        <v>43602</v>
      </c>
      <c r="D52" s="120" t="s">
        <v>1000</v>
      </c>
      <c r="E52" s="123">
        <v>276</v>
      </c>
      <c r="F52" s="133"/>
      <c r="G52" s="127"/>
      <c r="H52" s="106"/>
      <c r="I52" s="136"/>
      <c r="J52" s="140">
        <f t="shared" si="3"/>
        <v>5419947</v>
      </c>
      <c r="K52" s="149" t="str">
        <f t="shared" si="0"/>
        <v>OK</v>
      </c>
      <c r="L52" s="151" t="str">
        <f t="shared" si="1"/>
        <v>May</v>
      </c>
      <c r="M52" s="152">
        <f t="shared" si="2"/>
        <v>2019</v>
      </c>
    </row>
    <row r="53" spans="2:13" x14ac:dyDescent="0.25">
      <c r="B53" s="144" t="s">
        <v>641</v>
      </c>
      <c r="C53" s="134">
        <v>43603</v>
      </c>
      <c r="D53" s="119" t="s">
        <v>999</v>
      </c>
      <c r="E53" s="123">
        <v>277</v>
      </c>
      <c r="F53" s="133"/>
      <c r="G53" s="127"/>
      <c r="H53" s="106"/>
      <c r="I53" s="136"/>
      <c r="J53" s="140">
        <f t="shared" si="3"/>
        <v>5419947</v>
      </c>
      <c r="K53" s="149" t="str">
        <f t="shared" si="0"/>
        <v>OK</v>
      </c>
      <c r="L53" s="151" t="str">
        <f t="shared" si="1"/>
        <v>May</v>
      </c>
      <c r="M53" s="152">
        <f t="shared" si="2"/>
        <v>2019</v>
      </c>
    </row>
    <row r="54" spans="2:13" x14ac:dyDescent="0.25">
      <c r="B54" s="144" t="s">
        <v>642</v>
      </c>
      <c r="C54" s="134">
        <v>43604</v>
      </c>
      <c r="D54" s="120" t="s">
        <v>1000</v>
      </c>
      <c r="E54" s="123">
        <v>278</v>
      </c>
      <c r="F54" s="133"/>
      <c r="G54" s="127">
        <v>50000</v>
      </c>
      <c r="H54" s="106" t="s">
        <v>176</v>
      </c>
      <c r="I54" s="136">
        <v>123456</v>
      </c>
      <c r="J54" s="140">
        <f t="shared" si="3"/>
        <v>5369947</v>
      </c>
      <c r="K54" s="149" t="str">
        <f t="shared" si="0"/>
        <v>OK</v>
      </c>
      <c r="L54" s="151" t="str">
        <f t="shared" si="1"/>
        <v>May</v>
      </c>
      <c r="M54" s="152">
        <f t="shared" si="2"/>
        <v>2019</v>
      </c>
    </row>
    <row r="55" spans="2:13" x14ac:dyDescent="0.25">
      <c r="B55" s="144" t="s">
        <v>643</v>
      </c>
      <c r="C55" s="134">
        <v>43605</v>
      </c>
      <c r="D55" s="120" t="s">
        <v>1000</v>
      </c>
      <c r="E55" s="123">
        <v>279</v>
      </c>
      <c r="F55" s="133"/>
      <c r="G55" s="127"/>
      <c r="H55" s="106"/>
      <c r="I55" s="136"/>
      <c r="J55" s="140">
        <f t="shared" si="3"/>
        <v>5369947</v>
      </c>
      <c r="K55" s="149" t="str">
        <f t="shared" si="0"/>
        <v>OK</v>
      </c>
      <c r="L55" s="151" t="str">
        <f t="shared" si="1"/>
        <v>May</v>
      </c>
      <c r="M55" s="152">
        <f t="shared" si="2"/>
        <v>2019</v>
      </c>
    </row>
    <row r="56" spans="2:13" x14ac:dyDescent="0.25">
      <c r="B56" s="144" t="s">
        <v>644</v>
      </c>
      <c r="C56" s="134">
        <v>43606</v>
      </c>
      <c r="D56" s="119" t="s">
        <v>999</v>
      </c>
      <c r="E56" s="123">
        <v>280</v>
      </c>
      <c r="F56" s="133"/>
      <c r="G56" s="127"/>
      <c r="H56" s="106"/>
      <c r="I56" s="136"/>
      <c r="J56" s="140">
        <f t="shared" si="3"/>
        <v>5369947</v>
      </c>
      <c r="K56" s="149" t="str">
        <f t="shared" si="0"/>
        <v>OK</v>
      </c>
      <c r="L56" s="151" t="str">
        <f t="shared" si="1"/>
        <v>May</v>
      </c>
      <c r="M56" s="152">
        <f t="shared" si="2"/>
        <v>2019</v>
      </c>
    </row>
    <row r="57" spans="2:13" x14ac:dyDescent="0.25">
      <c r="B57" s="144" t="s">
        <v>645</v>
      </c>
      <c r="C57" s="134">
        <v>43607</v>
      </c>
      <c r="D57" s="120" t="s">
        <v>1000</v>
      </c>
      <c r="E57" s="123">
        <v>281</v>
      </c>
      <c r="F57" s="133"/>
      <c r="G57" s="127"/>
      <c r="H57" s="106"/>
      <c r="I57" s="136"/>
      <c r="J57" s="140">
        <f t="shared" si="3"/>
        <v>5369947</v>
      </c>
      <c r="K57" s="149" t="str">
        <f t="shared" si="0"/>
        <v>OK</v>
      </c>
      <c r="L57" s="151" t="str">
        <f t="shared" si="1"/>
        <v>May</v>
      </c>
      <c r="M57" s="152">
        <f t="shared" si="2"/>
        <v>2019</v>
      </c>
    </row>
    <row r="58" spans="2:13" x14ac:dyDescent="0.25">
      <c r="B58" s="144" t="s">
        <v>646</v>
      </c>
      <c r="C58" s="134">
        <v>43608</v>
      </c>
      <c r="D58" s="120" t="s">
        <v>1000</v>
      </c>
      <c r="E58" s="123">
        <v>282</v>
      </c>
      <c r="F58" s="133"/>
      <c r="G58" s="127"/>
      <c r="H58" s="106"/>
      <c r="I58" s="136"/>
      <c r="J58" s="140">
        <f t="shared" si="3"/>
        <v>5369947</v>
      </c>
      <c r="K58" s="149" t="str">
        <f t="shared" si="0"/>
        <v>OK</v>
      </c>
      <c r="L58" s="151" t="str">
        <f t="shared" si="1"/>
        <v>May</v>
      </c>
      <c r="M58" s="152">
        <f t="shared" si="2"/>
        <v>2019</v>
      </c>
    </row>
    <row r="59" spans="2:13" x14ac:dyDescent="0.25">
      <c r="B59" s="144" t="s">
        <v>647</v>
      </c>
      <c r="C59" s="134">
        <v>43609</v>
      </c>
      <c r="D59" s="119" t="s">
        <v>999</v>
      </c>
      <c r="E59" s="123">
        <v>283</v>
      </c>
      <c r="F59" s="133"/>
      <c r="G59" s="127"/>
      <c r="H59" s="106"/>
      <c r="I59" s="136"/>
      <c r="J59" s="140">
        <f t="shared" si="3"/>
        <v>5369947</v>
      </c>
      <c r="K59" s="149" t="str">
        <f t="shared" si="0"/>
        <v>OK</v>
      </c>
      <c r="L59" s="151" t="str">
        <f t="shared" si="1"/>
        <v>May</v>
      </c>
      <c r="M59" s="152">
        <f t="shared" si="2"/>
        <v>2019</v>
      </c>
    </row>
    <row r="60" spans="2:13" x14ac:dyDescent="0.25">
      <c r="B60" s="144" t="s">
        <v>648</v>
      </c>
      <c r="C60" s="134">
        <v>43610</v>
      </c>
      <c r="D60" s="120" t="s">
        <v>1000</v>
      </c>
      <c r="E60" s="123">
        <v>284</v>
      </c>
      <c r="F60" s="133"/>
      <c r="G60" s="127">
        <v>100000</v>
      </c>
      <c r="H60" s="106" t="s">
        <v>176</v>
      </c>
      <c r="I60" s="136">
        <v>123457</v>
      </c>
      <c r="J60" s="140">
        <f t="shared" si="3"/>
        <v>5269947</v>
      </c>
      <c r="K60" s="149" t="str">
        <f t="shared" si="0"/>
        <v>OK</v>
      </c>
      <c r="L60" s="151" t="str">
        <f t="shared" si="1"/>
        <v>May</v>
      </c>
      <c r="M60" s="152">
        <f t="shared" si="2"/>
        <v>2019</v>
      </c>
    </row>
    <row r="61" spans="2:13" x14ac:dyDescent="0.25">
      <c r="B61" s="144" t="s">
        <v>649</v>
      </c>
      <c r="C61" s="134">
        <v>43611</v>
      </c>
      <c r="D61" s="119" t="s">
        <v>999</v>
      </c>
      <c r="E61" s="123">
        <v>285</v>
      </c>
      <c r="F61" s="133"/>
      <c r="G61" s="127"/>
      <c r="H61" s="106"/>
      <c r="I61" s="136"/>
      <c r="J61" s="140">
        <f t="shared" si="3"/>
        <v>5269947</v>
      </c>
      <c r="K61" s="149" t="str">
        <f t="shared" si="0"/>
        <v>OK</v>
      </c>
      <c r="L61" s="151" t="str">
        <f t="shared" si="1"/>
        <v>May</v>
      </c>
      <c r="M61" s="152">
        <f t="shared" si="2"/>
        <v>2019</v>
      </c>
    </row>
    <row r="62" spans="2:13" x14ac:dyDescent="0.25">
      <c r="B62" s="144" t="s">
        <v>650</v>
      </c>
      <c r="C62" s="134">
        <v>43612</v>
      </c>
      <c r="D62" s="120" t="s">
        <v>1000</v>
      </c>
      <c r="E62" s="123">
        <v>286</v>
      </c>
      <c r="F62" s="133">
        <v>100000</v>
      </c>
      <c r="G62" s="127"/>
      <c r="H62" s="106"/>
      <c r="I62" s="136"/>
      <c r="J62" s="140">
        <f t="shared" si="3"/>
        <v>5369947</v>
      </c>
      <c r="K62" s="149" t="str">
        <f t="shared" si="0"/>
        <v>OK</v>
      </c>
      <c r="L62" s="151" t="str">
        <f t="shared" si="1"/>
        <v>May</v>
      </c>
      <c r="M62" s="152">
        <f t="shared" si="2"/>
        <v>2019</v>
      </c>
    </row>
    <row r="63" spans="2:13" x14ac:dyDescent="0.25">
      <c r="B63" s="144" t="s">
        <v>651</v>
      </c>
      <c r="C63" s="134">
        <v>43613</v>
      </c>
      <c r="D63" s="120" t="s">
        <v>1000</v>
      </c>
      <c r="E63" s="123">
        <v>287</v>
      </c>
      <c r="F63" s="133"/>
      <c r="G63" s="127"/>
      <c r="H63" s="106"/>
      <c r="I63" s="136"/>
      <c r="J63" s="140">
        <f t="shared" si="3"/>
        <v>5369947</v>
      </c>
      <c r="K63" s="149" t="str">
        <f t="shared" si="0"/>
        <v>OK</v>
      </c>
      <c r="L63" s="151" t="str">
        <f t="shared" si="1"/>
        <v>May</v>
      </c>
      <c r="M63" s="152">
        <f t="shared" si="2"/>
        <v>2019</v>
      </c>
    </row>
    <row r="64" spans="2:13" x14ac:dyDescent="0.25">
      <c r="B64" s="144" t="s">
        <v>652</v>
      </c>
      <c r="C64" s="134">
        <v>43614</v>
      </c>
      <c r="D64" s="119" t="s">
        <v>999</v>
      </c>
      <c r="E64" s="123">
        <v>288</v>
      </c>
      <c r="F64" s="133"/>
      <c r="G64" s="127"/>
      <c r="H64" s="106"/>
      <c r="I64" s="136"/>
      <c r="J64" s="140">
        <f t="shared" si="3"/>
        <v>5369947</v>
      </c>
      <c r="K64" s="149" t="str">
        <f t="shared" si="0"/>
        <v>OK</v>
      </c>
      <c r="L64" s="151" t="str">
        <f t="shared" si="1"/>
        <v>May</v>
      </c>
      <c r="M64" s="152">
        <f t="shared" si="2"/>
        <v>2019</v>
      </c>
    </row>
    <row r="65" spans="2:13" x14ac:dyDescent="0.25">
      <c r="B65" s="144" t="s">
        <v>653</v>
      </c>
      <c r="C65" s="134">
        <v>43615</v>
      </c>
      <c r="D65" s="120" t="s">
        <v>1000</v>
      </c>
      <c r="E65" s="123">
        <v>289</v>
      </c>
      <c r="F65" s="133"/>
      <c r="G65" s="127"/>
      <c r="H65" s="106"/>
      <c r="I65" s="136"/>
      <c r="J65" s="140">
        <f t="shared" si="3"/>
        <v>5369947</v>
      </c>
      <c r="K65" s="149" t="str">
        <f t="shared" si="0"/>
        <v>OK</v>
      </c>
      <c r="L65" s="151" t="str">
        <f t="shared" si="1"/>
        <v>May</v>
      </c>
      <c r="M65" s="152">
        <f t="shared" si="2"/>
        <v>2019</v>
      </c>
    </row>
    <row r="66" spans="2:13" x14ac:dyDescent="0.25">
      <c r="B66" s="144" t="s">
        <v>654</v>
      </c>
      <c r="C66" s="134">
        <v>43616</v>
      </c>
      <c r="D66" s="119" t="s">
        <v>999</v>
      </c>
      <c r="E66" s="123">
        <v>290</v>
      </c>
      <c r="F66" s="133"/>
      <c r="G66" s="127"/>
      <c r="H66" s="106"/>
      <c r="I66" s="136"/>
      <c r="J66" s="140">
        <f t="shared" si="3"/>
        <v>5369947</v>
      </c>
      <c r="K66" s="149" t="str">
        <f t="shared" si="0"/>
        <v>OK</v>
      </c>
      <c r="L66" s="151" t="str">
        <f t="shared" si="1"/>
        <v>May</v>
      </c>
      <c r="M66" s="152">
        <f t="shared" si="2"/>
        <v>2019</v>
      </c>
    </row>
    <row r="67" spans="2:13" x14ac:dyDescent="0.25">
      <c r="B67" s="144" t="s">
        <v>655</v>
      </c>
      <c r="C67" s="134">
        <v>43617</v>
      </c>
      <c r="D67" s="120" t="s">
        <v>1000</v>
      </c>
      <c r="E67" s="123">
        <v>291</v>
      </c>
      <c r="F67" s="133"/>
      <c r="G67" s="127"/>
      <c r="H67" s="106"/>
      <c r="I67" s="136"/>
      <c r="J67" s="140">
        <f t="shared" si="3"/>
        <v>5369947</v>
      </c>
      <c r="K67" s="149" t="str">
        <f t="shared" si="0"/>
        <v>OK</v>
      </c>
      <c r="L67" s="151" t="str">
        <f t="shared" si="1"/>
        <v>June</v>
      </c>
      <c r="M67" s="152">
        <f t="shared" si="2"/>
        <v>2019</v>
      </c>
    </row>
    <row r="68" spans="2:13" x14ac:dyDescent="0.25">
      <c r="B68" s="144" t="s">
        <v>656</v>
      </c>
      <c r="C68" s="134">
        <v>43618</v>
      </c>
      <c r="D68" s="119" t="s">
        <v>999</v>
      </c>
      <c r="E68" s="123">
        <v>292</v>
      </c>
      <c r="F68" s="133"/>
      <c r="G68" s="127"/>
      <c r="H68" s="106"/>
      <c r="I68" s="136"/>
      <c r="J68" s="140">
        <f t="shared" si="3"/>
        <v>5369947</v>
      </c>
      <c r="K68" s="149" t="str">
        <f t="shared" si="0"/>
        <v>OK</v>
      </c>
      <c r="L68" s="151" t="str">
        <f t="shared" si="1"/>
        <v>June</v>
      </c>
      <c r="M68" s="152">
        <f t="shared" si="2"/>
        <v>2019</v>
      </c>
    </row>
    <row r="69" spans="2:13" x14ac:dyDescent="0.25">
      <c r="B69" s="144" t="s">
        <v>657</v>
      </c>
      <c r="C69" s="134">
        <v>43619</v>
      </c>
      <c r="D69" s="120" t="s">
        <v>1000</v>
      </c>
      <c r="E69" s="123">
        <v>293</v>
      </c>
      <c r="F69" s="133"/>
      <c r="G69" s="127"/>
      <c r="H69" s="106"/>
      <c r="I69" s="136"/>
      <c r="J69" s="140">
        <f t="shared" si="3"/>
        <v>5369947</v>
      </c>
      <c r="K69" s="149" t="str">
        <f t="shared" si="0"/>
        <v>OK</v>
      </c>
      <c r="L69" s="151" t="str">
        <f t="shared" si="1"/>
        <v>June</v>
      </c>
      <c r="M69" s="152">
        <f t="shared" si="2"/>
        <v>2019</v>
      </c>
    </row>
    <row r="70" spans="2:13" x14ac:dyDescent="0.25">
      <c r="B70" s="144" t="s">
        <v>658</v>
      </c>
      <c r="C70" s="134">
        <v>43620</v>
      </c>
      <c r="D70" s="119" t="s">
        <v>999</v>
      </c>
      <c r="E70" s="123">
        <v>294</v>
      </c>
      <c r="F70" s="133"/>
      <c r="G70" s="127"/>
      <c r="H70" s="106"/>
      <c r="I70" s="136"/>
      <c r="J70" s="140">
        <f t="shared" si="3"/>
        <v>5369947</v>
      </c>
      <c r="K70" s="149" t="str">
        <f t="shared" si="0"/>
        <v>OK</v>
      </c>
      <c r="L70" s="151" t="str">
        <f t="shared" si="1"/>
        <v>June</v>
      </c>
      <c r="M70" s="152">
        <f t="shared" si="2"/>
        <v>2019</v>
      </c>
    </row>
    <row r="71" spans="2:13" x14ac:dyDescent="0.25">
      <c r="B71" s="144" t="s">
        <v>659</v>
      </c>
      <c r="C71" s="134">
        <v>43621</v>
      </c>
      <c r="D71" s="120" t="s">
        <v>1000</v>
      </c>
      <c r="E71" s="123">
        <v>295</v>
      </c>
      <c r="F71" s="133"/>
      <c r="G71" s="127"/>
      <c r="H71" s="106"/>
      <c r="I71" s="136"/>
      <c r="J71" s="140">
        <f t="shared" si="3"/>
        <v>5369947</v>
      </c>
      <c r="K71" s="149" t="str">
        <f t="shared" si="0"/>
        <v>OK</v>
      </c>
      <c r="L71" s="151" t="str">
        <f t="shared" si="1"/>
        <v>June</v>
      </c>
      <c r="M71" s="152">
        <f t="shared" si="2"/>
        <v>2019</v>
      </c>
    </row>
    <row r="72" spans="2:13" x14ac:dyDescent="0.25">
      <c r="B72" s="144" t="s">
        <v>660</v>
      </c>
      <c r="C72" s="134">
        <v>43622</v>
      </c>
      <c r="D72" s="119" t="s">
        <v>999</v>
      </c>
      <c r="E72" s="123">
        <v>296</v>
      </c>
      <c r="F72" s="133"/>
      <c r="G72" s="127"/>
      <c r="H72" s="106"/>
      <c r="I72" s="136"/>
      <c r="J72" s="140">
        <f t="shared" si="3"/>
        <v>5369947</v>
      </c>
      <c r="K72" s="149" t="str">
        <f t="shared" si="0"/>
        <v>OK</v>
      </c>
      <c r="L72" s="151" t="str">
        <f t="shared" si="1"/>
        <v>June</v>
      </c>
      <c r="M72" s="152">
        <f t="shared" si="2"/>
        <v>2019</v>
      </c>
    </row>
    <row r="73" spans="2:13" x14ac:dyDescent="0.25">
      <c r="B73" s="144" t="s">
        <v>661</v>
      </c>
      <c r="C73" s="134">
        <v>43623</v>
      </c>
      <c r="D73" s="120" t="s">
        <v>1000</v>
      </c>
      <c r="E73" s="123">
        <v>297</v>
      </c>
      <c r="F73" s="133"/>
      <c r="G73" s="127">
        <v>100000</v>
      </c>
      <c r="H73" s="106"/>
      <c r="I73" s="136"/>
      <c r="J73" s="140">
        <f t="shared" si="3"/>
        <v>5269947</v>
      </c>
      <c r="K73" s="149" t="str">
        <f t="shared" si="0"/>
        <v>OK</v>
      </c>
      <c r="L73" s="151" t="str">
        <f t="shared" si="1"/>
        <v>June</v>
      </c>
      <c r="M73" s="152">
        <f t="shared" si="2"/>
        <v>2019</v>
      </c>
    </row>
    <row r="74" spans="2:13" x14ac:dyDescent="0.25">
      <c r="B74" s="144" t="s">
        <v>662</v>
      </c>
      <c r="C74" s="134">
        <v>43624</v>
      </c>
      <c r="D74" s="120" t="s">
        <v>1000</v>
      </c>
      <c r="E74" s="123">
        <v>298</v>
      </c>
      <c r="F74" s="133"/>
      <c r="G74" s="127"/>
      <c r="H74" s="106"/>
      <c r="I74" s="136"/>
      <c r="J74" s="140">
        <f t="shared" si="3"/>
        <v>5269947</v>
      </c>
      <c r="K74" s="149" t="str">
        <f t="shared" si="0"/>
        <v>OK</v>
      </c>
      <c r="L74" s="151" t="str">
        <f t="shared" si="1"/>
        <v>June</v>
      </c>
      <c r="M74" s="152">
        <f t="shared" si="2"/>
        <v>2019</v>
      </c>
    </row>
    <row r="75" spans="2:13" x14ac:dyDescent="0.25">
      <c r="B75" s="144" t="s">
        <v>663</v>
      </c>
      <c r="C75" s="134">
        <v>43625</v>
      </c>
      <c r="D75" s="119" t="s">
        <v>999</v>
      </c>
      <c r="E75" s="123">
        <v>299</v>
      </c>
      <c r="F75" s="133"/>
      <c r="G75" s="127"/>
      <c r="H75" s="106"/>
      <c r="I75" s="136"/>
      <c r="J75" s="140">
        <f t="shared" si="3"/>
        <v>5269947</v>
      </c>
      <c r="K75" s="149" t="str">
        <f t="shared" ref="K75:K138" si="4">IF(AND(F75&lt;&gt;"",G75&lt;&gt;""),"ERROR","OK")</f>
        <v>OK</v>
      </c>
      <c r="L75" s="151" t="str">
        <f t="shared" ref="L75:L138" si="5">TEXT(C75,"mmmm")</f>
        <v>June</v>
      </c>
      <c r="M75" s="152">
        <f t="shared" ref="M75:M138" si="6">YEAR(C75)</f>
        <v>2019</v>
      </c>
    </row>
    <row r="76" spans="2:13" x14ac:dyDescent="0.25">
      <c r="B76" s="144" t="s">
        <v>664</v>
      </c>
      <c r="C76" s="134">
        <v>43626</v>
      </c>
      <c r="D76" s="120" t="s">
        <v>1000</v>
      </c>
      <c r="E76" s="123">
        <v>300</v>
      </c>
      <c r="F76" s="133"/>
      <c r="G76" s="127"/>
      <c r="H76" s="106"/>
      <c r="I76" s="136"/>
      <c r="J76" s="140">
        <f t="shared" ref="J76:J139" si="7">($J75+$F76)-$G76</f>
        <v>5269947</v>
      </c>
      <c r="K76" s="149" t="str">
        <f t="shared" si="4"/>
        <v>OK</v>
      </c>
      <c r="L76" s="151" t="str">
        <f t="shared" si="5"/>
        <v>June</v>
      </c>
      <c r="M76" s="152">
        <f t="shared" si="6"/>
        <v>2019</v>
      </c>
    </row>
    <row r="77" spans="2:13" x14ac:dyDescent="0.25">
      <c r="B77" s="144" t="s">
        <v>665</v>
      </c>
      <c r="C77" s="134">
        <v>43627</v>
      </c>
      <c r="D77" s="119" t="s">
        <v>999</v>
      </c>
      <c r="E77" s="123">
        <v>301</v>
      </c>
      <c r="F77" s="133">
        <v>100000</v>
      </c>
      <c r="G77" s="127"/>
      <c r="H77" s="106"/>
      <c r="I77" s="136"/>
      <c r="J77" s="140">
        <f t="shared" si="7"/>
        <v>5369947</v>
      </c>
      <c r="K77" s="149" t="str">
        <f t="shared" si="4"/>
        <v>OK</v>
      </c>
      <c r="L77" s="151" t="str">
        <f t="shared" si="5"/>
        <v>June</v>
      </c>
      <c r="M77" s="152">
        <f t="shared" si="6"/>
        <v>2019</v>
      </c>
    </row>
    <row r="78" spans="2:13" x14ac:dyDescent="0.25">
      <c r="B78" s="144" t="s">
        <v>666</v>
      </c>
      <c r="C78" s="134">
        <v>43628</v>
      </c>
      <c r="D78" s="120" t="s">
        <v>1000</v>
      </c>
      <c r="E78" s="123">
        <v>302</v>
      </c>
      <c r="F78" s="133"/>
      <c r="G78" s="127"/>
      <c r="H78" s="106"/>
      <c r="I78" s="136"/>
      <c r="J78" s="140">
        <f t="shared" si="7"/>
        <v>5369947</v>
      </c>
      <c r="K78" s="149" t="str">
        <f t="shared" si="4"/>
        <v>OK</v>
      </c>
      <c r="L78" s="151" t="str">
        <f t="shared" si="5"/>
        <v>June</v>
      </c>
      <c r="M78" s="152">
        <f t="shared" si="6"/>
        <v>2019</v>
      </c>
    </row>
    <row r="79" spans="2:13" x14ac:dyDescent="0.25">
      <c r="B79" s="144" t="s">
        <v>667</v>
      </c>
      <c r="C79" s="134">
        <v>43629</v>
      </c>
      <c r="D79" s="120" t="s">
        <v>1000</v>
      </c>
      <c r="E79" s="123">
        <v>303</v>
      </c>
      <c r="F79" s="133"/>
      <c r="G79" s="127"/>
      <c r="H79" s="106"/>
      <c r="I79" s="136"/>
      <c r="J79" s="140">
        <f t="shared" si="7"/>
        <v>5369947</v>
      </c>
      <c r="K79" s="149" t="str">
        <f t="shared" si="4"/>
        <v>OK</v>
      </c>
      <c r="L79" s="151" t="str">
        <f t="shared" si="5"/>
        <v>June</v>
      </c>
      <c r="M79" s="152">
        <f t="shared" si="6"/>
        <v>2019</v>
      </c>
    </row>
    <row r="80" spans="2:13" x14ac:dyDescent="0.25">
      <c r="B80" s="144" t="s">
        <v>668</v>
      </c>
      <c r="C80" s="134">
        <v>43630</v>
      </c>
      <c r="D80" s="119" t="s">
        <v>999</v>
      </c>
      <c r="E80" s="123">
        <v>304</v>
      </c>
      <c r="F80" s="133"/>
      <c r="G80" s="127"/>
      <c r="H80" s="106"/>
      <c r="I80" s="136"/>
      <c r="J80" s="140">
        <f t="shared" si="7"/>
        <v>5369947</v>
      </c>
      <c r="K80" s="149" t="str">
        <f t="shared" si="4"/>
        <v>OK</v>
      </c>
      <c r="L80" s="151" t="str">
        <f t="shared" si="5"/>
        <v>June</v>
      </c>
      <c r="M80" s="152">
        <f t="shared" si="6"/>
        <v>2019</v>
      </c>
    </row>
    <row r="81" spans="2:13" x14ac:dyDescent="0.25">
      <c r="B81" s="144" t="s">
        <v>669</v>
      </c>
      <c r="C81" s="134">
        <v>43631</v>
      </c>
      <c r="D81" s="120" t="s">
        <v>1000</v>
      </c>
      <c r="E81" s="123">
        <v>305</v>
      </c>
      <c r="F81" s="133"/>
      <c r="G81" s="127"/>
      <c r="H81" s="106"/>
      <c r="I81" s="136"/>
      <c r="J81" s="140">
        <f t="shared" si="7"/>
        <v>5369947</v>
      </c>
      <c r="K81" s="149" t="str">
        <f t="shared" si="4"/>
        <v>OK</v>
      </c>
      <c r="L81" s="151" t="str">
        <f t="shared" si="5"/>
        <v>June</v>
      </c>
      <c r="M81" s="152">
        <f t="shared" si="6"/>
        <v>2019</v>
      </c>
    </row>
    <row r="82" spans="2:13" x14ac:dyDescent="0.25">
      <c r="B82" s="144" t="s">
        <v>670</v>
      </c>
      <c r="C82" s="134">
        <v>43632</v>
      </c>
      <c r="D82" s="119" t="s">
        <v>999</v>
      </c>
      <c r="E82" s="123">
        <v>306</v>
      </c>
      <c r="F82" s="133"/>
      <c r="G82" s="127"/>
      <c r="H82" s="106"/>
      <c r="I82" s="136"/>
      <c r="J82" s="140">
        <f t="shared" si="7"/>
        <v>5369947</v>
      </c>
      <c r="K82" s="149" t="str">
        <f t="shared" si="4"/>
        <v>OK</v>
      </c>
      <c r="L82" s="151" t="str">
        <f t="shared" si="5"/>
        <v>June</v>
      </c>
      <c r="M82" s="152">
        <f t="shared" si="6"/>
        <v>2019</v>
      </c>
    </row>
    <row r="83" spans="2:13" x14ac:dyDescent="0.25">
      <c r="B83" s="144" t="s">
        <v>671</v>
      </c>
      <c r="C83" s="134">
        <v>43633</v>
      </c>
      <c r="D83" s="120" t="s">
        <v>1000</v>
      </c>
      <c r="E83" s="123">
        <v>307</v>
      </c>
      <c r="F83" s="133"/>
      <c r="G83" s="127"/>
      <c r="H83" s="106"/>
      <c r="I83" s="136"/>
      <c r="J83" s="140">
        <f t="shared" si="7"/>
        <v>5369947</v>
      </c>
      <c r="K83" s="149" t="str">
        <f t="shared" si="4"/>
        <v>OK</v>
      </c>
      <c r="L83" s="151" t="str">
        <f t="shared" si="5"/>
        <v>June</v>
      </c>
      <c r="M83" s="152">
        <f t="shared" si="6"/>
        <v>2019</v>
      </c>
    </row>
    <row r="84" spans="2:13" x14ac:dyDescent="0.25">
      <c r="B84" s="144" t="s">
        <v>672</v>
      </c>
      <c r="C84" s="134">
        <v>43634</v>
      </c>
      <c r="D84" s="120" t="s">
        <v>1000</v>
      </c>
      <c r="E84" s="123">
        <v>36</v>
      </c>
      <c r="F84" s="133"/>
      <c r="G84" s="127"/>
      <c r="H84" s="106"/>
      <c r="I84" s="136"/>
      <c r="J84" s="140">
        <f t="shared" si="7"/>
        <v>5369947</v>
      </c>
      <c r="K84" s="149" t="str">
        <f t="shared" si="4"/>
        <v>OK</v>
      </c>
      <c r="L84" s="151" t="str">
        <f t="shared" si="5"/>
        <v>June</v>
      </c>
      <c r="M84" s="152">
        <f t="shared" si="6"/>
        <v>2019</v>
      </c>
    </row>
    <row r="85" spans="2:13" x14ac:dyDescent="0.25">
      <c r="B85" s="144" t="s">
        <v>673</v>
      </c>
      <c r="C85" s="134">
        <v>43635</v>
      </c>
      <c r="D85" s="119" t="s">
        <v>999</v>
      </c>
      <c r="E85" s="123">
        <v>362</v>
      </c>
      <c r="F85" s="133"/>
      <c r="G85" s="127">
        <v>100000</v>
      </c>
      <c r="H85" s="106"/>
      <c r="I85" s="136"/>
      <c r="J85" s="140">
        <f t="shared" si="7"/>
        <v>5269947</v>
      </c>
      <c r="K85" s="149" t="str">
        <f t="shared" si="4"/>
        <v>OK</v>
      </c>
      <c r="L85" s="151" t="str">
        <f t="shared" si="5"/>
        <v>June</v>
      </c>
      <c r="M85" s="152">
        <f t="shared" si="6"/>
        <v>2019</v>
      </c>
    </row>
    <row r="86" spans="2:13" x14ac:dyDescent="0.25">
      <c r="B86" s="144" t="s">
        <v>674</v>
      </c>
      <c r="C86" s="134">
        <v>43636</v>
      </c>
      <c r="D86" s="120" t="s">
        <v>1000</v>
      </c>
      <c r="E86" s="123">
        <v>356</v>
      </c>
      <c r="F86" s="133"/>
      <c r="G86" s="127"/>
      <c r="H86" s="106"/>
      <c r="I86" s="136"/>
      <c r="J86" s="140">
        <f t="shared" si="7"/>
        <v>5269947</v>
      </c>
      <c r="K86" s="149" t="str">
        <f t="shared" si="4"/>
        <v>OK</v>
      </c>
      <c r="L86" s="151" t="str">
        <f t="shared" si="5"/>
        <v>June</v>
      </c>
      <c r="M86" s="152">
        <f t="shared" si="6"/>
        <v>2019</v>
      </c>
    </row>
    <row r="87" spans="2:13" x14ac:dyDescent="0.25">
      <c r="B87" s="144" t="s">
        <v>675</v>
      </c>
      <c r="C87" s="134">
        <v>43637</v>
      </c>
      <c r="D87" s="120" t="s">
        <v>1000</v>
      </c>
      <c r="E87" s="123">
        <v>311</v>
      </c>
      <c r="F87" s="133"/>
      <c r="G87" s="127"/>
      <c r="H87" s="106"/>
      <c r="I87" s="136"/>
      <c r="J87" s="140">
        <f t="shared" si="7"/>
        <v>5269947</v>
      </c>
      <c r="K87" s="149" t="str">
        <f t="shared" si="4"/>
        <v>OK</v>
      </c>
      <c r="L87" s="151" t="str">
        <f t="shared" si="5"/>
        <v>June</v>
      </c>
      <c r="M87" s="152">
        <f t="shared" si="6"/>
        <v>2019</v>
      </c>
    </row>
    <row r="88" spans="2:13" x14ac:dyDescent="0.25">
      <c r="B88" s="144" t="s">
        <v>676</v>
      </c>
      <c r="C88" s="134">
        <v>43638</v>
      </c>
      <c r="D88" s="119" t="s">
        <v>999</v>
      </c>
      <c r="E88" s="123">
        <v>312</v>
      </c>
      <c r="F88" s="133">
        <v>100000</v>
      </c>
      <c r="G88" s="127"/>
      <c r="H88" s="106"/>
      <c r="I88" s="136"/>
      <c r="J88" s="140">
        <f t="shared" si="7"/>
        <v>5369947</v>
      </c>
      <c r="K88" s="149" t="str">
        <f t="shared" si="4"/>
        <v>OK</v>
      </c>
      <c r="L88" s="151" t="str">
        <f t="shared" si="5"/>
        <v>June</v>
      </c>
      <c r="M88" s="152">
        <f t="shared" si="6"/>
        <v>2019</v>
      </c>
    </row>
    <row r="89" spans="2:13" x14ac:dyDescent="0.25">
      <c r="B89" s="144" t="s">
        <v>677</v>
      </c>
      <c r="C89" s="134">
        <v>43639</v>
      </c>
      <c r="D89" s="120" t="s">
        <v>1000</v>
      </c>
      <c r="E89" s="123">
        <v>313</v>
      </c>
      <c r="F89" s="133"/>
      <c r="G89" s="127"/>
      <c r="H89" s="106"/>
      <c r="I89" s="136"/>
      <c r="J89" s="140">
        <f t="shared" si="7"/>
        <v>5369947</v>
      </c>
      <c r="K89" s="149" t="str">
        <f t="shared" si="4"/>
        <v>OK</v>
      </c>
      <c r="L89" s="151" t="str">
        <f t="shared" si="5"/>
        <v>June</v>
      </c>
      <c r="M89" s="152">
        <f t="shared" si="6"/>
        <v>2019</v>
      </c>
    </row>
    <row r="90" spans="2:13" x14ac:dyDescent="0.25">
      <c r="B90" s="144" t="s">
        <v>678</v>
      </c>
      <c r="C90" s="134">
        <v>43640</v>
      </c>
      <c r="D90" s="119" t="s">
        <v>999</v>
      </c>
      <c r="E90" s="123">
        <v>314</v>
      </c>
      <c r="F90" s="133"/>
      <c r="G90" s="127"/>
      <c r="H90" s="106"/>
      <c r="I90" s="136"/>
      <c r="J90" s="140">
        <f t="shared" si="7"/>
        <v>5369947</v>
      </c>
      <c r="K90" s="149" t="str">
        <f t="shared" si="4"/>
        <v>OK</v>
      </c>
      <c r="L90" s="151" t="str">
        <f t="shared" si="5"/>
        <v>June</v>
      </c>
      <c r="M90" s="152">
        <f t="shared" si="6"/>
        <v>2019</v>
      </c>
    </row>
    <row r="91" spans="2:13" x14ac:dyDescent="0.25">
      <c r="B91" s="144" t="s">
        <v>679</v>
      </c>
      <c r="C91" s="134">
        <v>43641</v>
      </c>
      <c r="D91" s="120" t="s">
        <v>1000</v>
      </c>
      <c r="E91" s="123">
        <v>315</v>
      </c>
      <c r="F91" s="133"/>
      <c r="G91" s="127"/>
      <c r="H91" s="106"/>
      <c r="I91" s="136"/>
      <c r="J91" s="140">
        <f t="shared" si="7"/>
        <v>5369947</v>
      </c>
      <c r="K91" s="149" t="str">
        <f t="shared" si="4"/>
        <v>OK</v>
      </c>
      <c r="L91" s="151" t="str">
        <f t="shared" si="5"/>
        <v>June</v>
      </c>
      <c r="M91" s="152">
        <f t="shared" si="6"/>
        <v>2019</v>
      </c>
    </row>
    <row r="92" spans="2:13" x14ac:dyDescent="0.25">
      <c r="B92" s="144" t="s">
        <v>680</v>
      </c>
      <c r="C92" s="134">
        <v>43642</v>
      </c>
      <c r="D92" s="120" t="s">
        <v>1000</v>
      </c>
      <c r="E92" s="123">
        <v>316</v>
      </c>
      <c r="F92" s="133"/>
      <c r="G92" s="127"/>
      <c r="H92" s="106"/>
      <c r="I92" s="136"/>
      <c r="J92" s="140">
        <f t="shared" si="7"/>
        <v>5369947</v>
      </c>
      <c r="K92" s="149" t="str">
        <f t="shared" si="4"/>
        <v>OK</v>
      </c>
      <c r="L92" s="151" t="str">
        <f t="shared" si="5"/>
        <v>June</v>
      </c>
      <c r="M92" s="152">
        <f t="shared" si="6"/>
        <v>2019</v>
      </c>
    </row>
    <row r="93" spans="2:13" x14ac:dyDescent="0.25">
      <c r="B93" s="144" t="s">
        <v>681</v>
      </c>
      <c r="C93" s="134">
        <v>43643</v>
      </c>
      <c r="D93" s="119" t="s">
        <v>999</v>
      </c>
      <c r="E93" s="123">
        <v>317</v>
      </c>
      <c r="F93" s="133"/>
      <c r="G93" s="127"/>
      <c r="H93" s="106"/>
      <c r="I93" s="136"/>
      <c r="J93" s="140">
        <f t="shared" si="7"/>
        <v>5369947</v>
      </c>
      <c r="K93" s="149" t="str">
        <f t="shared" si="4"/>
        <v>OK</v>
      </c>
      <c r="L93" s="151" t="str">
        <f t="shared" si="5"/>
        <v>June</v>
      </c>
      <c r="M93" s="152">
        <f t="shared" si="6"/>
        <v>2019</v>
      </c>
    </row>
    <row r="94" spans="2:13" x14ac:dyDescent="0.25">
      <c r="B94" s="144" t="s">
        <v>682</v>
      </c>
      <c r="C94" s="134">
        <v>43644</v>
      </c>
      <c r="D94" s="120" t="s">
        <v>1000</v>
      </c>
      <c r="E94" s="123">
        <v>318</v>
      </c>
      <c r="F94" s="133"/>
      <c r="G94" s="127"/>
      <c r="H94" s="106"/>
      <c r="I94" s="136"/>
      <c r="J94" s="140">
        <f t="shared" si="7"/>
        <v>5369947</v>
      </c>
      <c r="K94" s="149" t="str">
        <f t="shared" si="4"/>
        <v>OK</v>
      </c>
      <c r="L94" s="151" t="str">
        <f t="shared" si="5"/>
        <v>June</v>
      </c>
      <c r="M94" s="152">
        <f t="shared" si="6"/>
        <v>2019</v>
      </c>
    </row>
    <row r="95" spans="2:13" x14ac:dyDescent="0.25">
      <c r="B95" s="144" t="s">
        <v>683</v>
      </c>
      <c r="C95" s="134">
        <v>43645</v>
      </c>
      <c r="D95" s="119" t="s">
        <v>999</v>
      </c>
      <c r="E95" s="123">
        <v>319</v>
      </c>
      <c r="F95" s="133"/>
      <c r="G95" s="127"/>
      <c r="H95" s="106"/>
      <c r="I95" s="136"/>
      <c r="J95" s="140">
        <f t="shared" si="7"/>
        <v>5369947</v>
      </c>
      <c r="K95" s="149" t="str">
        <f t="shared" si="4"/>
        <v>OK</v>
      </c>
      <c r="L95" s="151" t="str">
        <f t="shared" si="5"/>
        <v>June</v>
      </c>
      <c r="M95" s="152">
        <f t="shared" si="6"/>
        <v>2019</v>
      </c>
    </row>
    <row r="96" spans="2:13" x14ac:dyDescent="0.25">
      <c r="B96" s="144" t="s">
        <v>684</v>
      </c>
      <c r="C96" s="134">
        <v>43646</v>
      </c>
      <c r="D96" s="120" t="s">
        <v>1000</v>
      </c>
      <c r="E96" s="123">
        <v>320</v>
      </c>
      <c r="F96" s="133"/>
      <c r="G96" s="127"/>
      <c r="H96" s="106"/>
      <c r="I96" s="136"/>
      <c r="J96" s="140">
        <f t="shared" si="7"/>
        <v>5369947</v>
      </c>
      <c r="K96" s="149" t="str">
        <f t="shared" si="4"/>
        <v>OK</v>
      </c>
      <c r="L96" s="151" t="str">
        <f t="shared" si="5"/>
        <v>June</v>
      </c>
      <c r="M96" s="152">
        <f t="shared" si="6"/>
        <v>2019</v>
      </c>
    </row>
    <row r="97" spans="2:13" x14ac:dyDescent="0.25">
      <c r="B97" s="144" t="s">
        <v>685</v>
      </c>
      <c r="C97" s="134">
        <v>43647</v>
      </c>
      <c r="D97" s="119" t="s">
        <v>999</v>
      </c>
      <c r="E97" s="123">
        <v>321</v>
      </c>
      <c r="F97" s="133"/>
      <c r="G97" s="127"/>
      <c r="H97" s="106"/>
      <c r="I97" s="136"/>
      <c r="J97" s="140">
        <f t="shared" si="7"/>
        <v>5369947</v>
      </c>
      <c r="K97" s="149" t="str">
        <f t="shared" si="4"/>
        <v>OK</v>
      </c>
      <c r="L97" s="151" t="str">
        <f t="shared" si="5"/>
        <v>July</v>
      </c>
      <c r="M97" s="152">
        <f t="shared" si="6"/>
        <v>2019</v>
      </c>
    </row>
    <row r="98" spans="2:13" x14ac:dyDescent="0.25">
      <c r="B98" s="144" t="s">
        <v>686</v>
      </c>
      <c r="C98" s="134">
        <v>43648</v>
      </c>
      <c r="D98" s="120" t="s">
        <v>1000</v>
      </c>
      <c r="E98" s="123">
        <v>322</v>
      </c>
      <c r="F98" s="133"/>
      <c r="G98" s="127">
        <v>100000</v>
      </c>
      <c r="H98" s="106"/>
      <c r="I98" s="136"/>
      <c r="J98" s="140">
        <f t="shared" si="7"/>
        <v>5269947</v>
      </c>
      <c r="K98" s="149" t="str">
        <f t="shared" si="4"/>
        <v>OK</v>
      </c>
      <c r="L98" s="151" t="str">
        <f t="shared" si="5"/>
        <v>July</v>
      </c>
      <c r="M98" s="152">
        <f t="shared" si="6"/>
        <v>2019</v>
      </c>
    </row>
    <row r="99" spans="2:13" x14ac:dyDescent="0.25">
      <c r="B99" s="144" t="s">
        <v>687</v>
      </c>
      <c r="C99" s="134">
        <v>43649</v>
      </c>
      <c r="D99" s="119" t="s">
        <v>999</v>
      </c>
      <c r="E99" s="123">
        <v>323</v>
      </c>
      <c r="F99" s="133"/>
      <c r="G99" s="127"/>
      <c r="H99" s="106"/>
      <c r="I99" s="136"/>
      <c r="J99" s="140">
        <f t="shared" si="7"/>
        <v>5269947</v>
      </c>
      <c r="K99" s="149" t="str">
        <f t="shared" si="4"/>
        <v>OK</v>
      </c>
      <c r="L99" s="151" t="str">
        <f t="shared" si="5"/>
        <v>July</v>
      </c>
      <c r="M99" s="152">
        <f t="shared" si="6"/>
        <v>2019</v>
      </c>
    </row>
    <row r="100" spans="2:13" x14ac:dyDescent="0.25">
      <c r="B100" s="144" t="s">
        <v>688</v>
      </c>
      <c r="C100" s="134">
        <v>43650</v>
      </c>
      <c r="D100" s="120" t="s">
        <v>1000</v>
      </c>
      <c r="E100" s="123">
        <v>324</v>
      </c>
      <c r="F100" s="133"/>
      <c r="G100" s="127"/>
      <c r="H100" s="106"/>
      <c r="I100" s="136"/>
      <c r="J100" s="140">
        <f t="shared" si="7"/>
        <v>5269947</v>
      </c>
      <c r="K100" s="149" t="str">
        <f t="shared" si="4"/>
        <v>OK</v>
      </c>
      <c r="L100" s="151" t="str">
        <f t="shared" si="5"/>
        <v>July</v>
      </c>
      <c r="M100" s="152">
        <f t="shared" si="6"/>
        <v>2019</v>
      </c>
    </row>
    <row r="101" spans="2:13" x14ac:dyDescent="0.25">
      <c r="B101" s="144" t="s">
        <v>689</v>
      </c>
      <c r="C101" s="134">
        <v>43651</v>
      </c>
      <c r="D101" s="119" t="s">
        <v>999</v>
      </c>
      <c r="E101" s="123">
        <v>325</v>
      </c>
      <c r="F101" s="133"/>
      <c r="G101" s="127"/>
      <c r="H101" s="106"/>
      <c r="I101" s="136"/>
      <c r="J101" s="140">
        <f t="shared" si="7"/>
        <v>5269947</v>
      </c>
      <c r="K101" s="149" t="str">
        <f t="shared" si="4"/>
        <v>OK</v>
      </c>
      <c r="L101" s="151" t="str">
        <f t="shared" si="5"/>
        <v>July</v>
      </c>
      <c r="M101" s="152">
        <f t="shared" si="6"/>
        <v>2019</v>
      </c>
    </row>
    <row r="102" spans="2:13" x14ac:dyDescent="0.25">
      <c r="B102" s="144" t="s">
        <v>690</v>
      </c>
      <c r="C102" s="134">
        <v>43652</v>
      </c>
      <c r="D102" s="120" t="s">
        <v>1000</v>
      </c>
      <c r="E102" s="123">
        <v>326</v>
      </c>
      <c r="F102" s="133"/>
      <c r="G102" s="127"/>
      <c r="H102" s="106"/>
      <c r="I102" s="136"/>
      <c r="J102" s="140">
        <f t="shared" si="7"/>
        <v>5269947</v>
      </c>
      <c r="K102" s="149" t="str">
        <f t="shared" si="4"/>
        <v>OK</v>
      </c>
      <c r="L102" s="151" t="str">
        <f t="shared" si="5"/>
        <v>July</v>
      </c>
      <c r="M102" s="152">
        <f t="shared" si="6"/>
        <v>2019</v>
      </c>
    </row>
    <row r="103" spans="2:13" x14ac:dyDescent="0.25">
      <c r="B103" s="144" t="s">
        <v>691</v>
      </c>
      <c r="C103" s="134">
        <v>43653</v>
      </c>
      <c r="D103" s="120" t="s">
        <v>1000</v>
      </c>
      <c r="E103" s="123">
        <v>327</v>
      </c>
      <c r="F103" s="133"/>
      <c r="G103" s="127"/>
      <c r="H103" s="106"/>
      <c r="I103" s="136"/>
      <c r="J103" s="140">
        <f t="shared" si="7"/>
        <v>5269947</v>
      </c>
      <c r="K103" s="149" t="str">
        <f t="shared" si="4"/>
        <v>OK</v>
      </c>
      <c r="L103" s="151" t="str">
        <f t="shared" si="5"/>
        <v>July</v>
      </c>
      <c r="M103" s="152">
        <f t="shared" si="6"/>
        <v>2019</v>
      </c>
    </row>
    <row r="104" spans="2:13" x14ac:dyDescent="0.25">
      <c r="B104" s="144" t="s">
        <v>692</v>
      </c>
      <c r="C104" s="134">
        <v>43654</v>
      </c>
      <c r="D104" s="119" t="s">
        <v>999</v>
      </c>
      <c r="E104" s="123">
        <v>328</v>
      </c>
      <c r="F104" s="133"/>
      <c r="G104" s="127"/>
      <c r="H104" s="106"/>
      <c r="I104" s="136"/>
      <c r="J104" s="140">
        <f t="shared" si="7"/>
        <v>5269947</v>
      </c>
      <c r="K104" s="149" t="str">
        <f t="shared" si="4"/>
        <v>OK</v>
      </c>
      <c r="L104" s="151" t="str">
        <f t="shared" si="5"/>
        <v>July</v>
      </c>
      <c r="M104" s="152">
        <f t="shared" si="6"/>
        <v>2019</v>
      </c>
    </row>
    <row r="105" spans="2:13" x14ac:dyDescent="0.25">
      <c r="B105" s="144" t="s">
        <v>693</v>
      </c>
      <c r="C105" s="134">
        <v>43655</v>
      </c>
      <c r="D105" s="120" t="s">
        <v>1000</v>
      </c>
      <c r="E105" s="123">
        <v>329</v>
      </c>
      <c r="F105" s="133"/>
      <c r="G105" s="127"/>
      <c r="H105" s="106"/>
      <c r="I105" s="136"/>
      <c r="J105" s="140">
        <f t="shared" si="7"/>
        <v>5269947</v>
      </c>
      <c r="K105" s="149" t="str">
        <f t="shared" si="4"/>
        <v>OK</v>
      </c>
      <c r="L105" s="151" t="str">
        <f t="shared" si="5"/>
        <v>July</v>
      </c>
      <c r="M105" s="152">
        <f t="shared" si="6"/>
        <v>2019</v>
      </c>
    </row>
    <row r="106" spans="2:13" x14ac:dyDescent="0.25">
      <c r="B106" s="144" t="s">
        <v>694</v>
      </c>
      <c r="C106" s="134">
        <v>43656</v>
      </c>
      <c r="D106" s="119" t="s">
        <v>999</v>
      </c>
      <c r="E106" s="123">
        <v>330</v>
      </c>
      <c r="F106" s="133"/>
      <c r="G106" s="127"/>
      <c r="H106" s="106"/>
      <c r="I106" s="136"/>
      <c r="J106" s="140">
        <f t="shared" si="7"/>
        <v>5269947</v>
      </c>
      <c r="K106" s="149" t="str">
        <f t="shared" si="4"/>
        <v>OK</v>
      </c>
      <c r="L106" s="151" t="str">
        <f t="shared" si="5"/>
        <v>July</v>
      </c>
      <c r="M106" s="152">
        <f t="shared" si="6"/>
        <v>2019</v>
      </c>
    </row>
    <row r="107" spans="2:13" x14ac:dyDescent="0.25">
      <c r="B107" s="144" t="s">
        <v>695</v>
      </c>
      <c r="C107" s="134">
        <v>43657</v>
      </c>
      <c r="D107" s="120" t="s">
        <v>1000</v>
      </c>
      <c r="E107" s="123">
        <v>331</v>
      </c>
      <c r="F107" s="133"/>
      <c r="G107" s="127"/>
      <c r="H107" s="106"/>
      <c r="I107" s="136"/>
      <c r="J107" s="140">
        <f t="shared" si="7"/>
        <v>5269947</v>
      </c>
      <c r="K107" s="149" t="str">
        <f t="shared" si="4"/>
        <v>OK</v>
      </c>
      <c r="L107" s="151" t="str">
        <f t="shared" si="5"/>
        <v>July</v>
      </c>
      <c r="M107" s="152">
        <f t="shared" si="6"/>
        <v>2019</v>
      </c>
    </row>
    <row r="108" spans="2:13" x14ac:dyDescent="0.25">
      <c r="B108" s="144" t="s">
        <v>696</v>
      </c>
      <c r="C108" s="134">
        <v>43658</v>
      </c>
      <c r="D108" s="120" t="s">
        <v>1000</v>
      </c>
      <c r="E108" s="123">
        <v>332</v>
      </c>
      <c r="F108" s="133"/>
      <c r="G108" s="127"/>
      <c r="H108" s="106"/>
      <c r="I108" s="136"/>
      <c r="J108" s="140">
        <f t="shared" si="7"/>
        <v>5269947</v>
      </c>
      <c r="K108" s="149" t="str">
        <f t="shared" si="4"/>
        <v>OK</v>
      </c>
      <c r="L108" s="151" t="str">
        <f t="shared" si="5"/>
        <v>July</v>
      </c>
      <c r="M108" s="152">
        <f t="shared" si="6"/>
        <v>2019</v>
      </c>
    </row>
    <row r="109" spans="2:13" x14ac:dyDescent="0.25">
      <c r="B109" s="144" t="s">
        <v>697</v>
      </c>
      <c r="C109" s="134">
        <v>43659</v>
      </c>
      <c r="D109" s="119" t="s">
        <v>999</v>
      </c>
      <c r="E109" s="123">
        <v>333</v>
      </c>
      <c r="F109" s="133"/>
      <c r="G109" s="127"/>
      <c r="H109" s="106"/>
      <c r="I109" s="136"/>
      <c r="J109" s="140">
        <f t="shared" si="7"/>
        <v>5269947</v>
      </c>
      <c r="K109" s="149" t="str">
        <f t="shared" si="4"/>
        <v>OK</v>
      </c>
      <c r="L109" s="151" t="str">
        <f t="shared" si="5"/>
        <v>July</v>
      </c>
      <c r="M109" s="152">
        <f t="shared" si="6"/>
        <v>2019</v>
      </c>
    </row>
    <row r="110" spans="2:13" x14ac:dyDescent="0.25">
      <c r="B110" s="144" t="s">
        <v>698</v>
      </c>
      <c r="C110" s="134">
        <v>43660</v>
      </c>
      <c r="D110" s="120" t="s">
        <v>1000</v>
      </c>
      <c r="E110" s="123">
        <v>334</v>
      </c>
      <c r="F110" s="133"/>
      <c r="G110" s="127">
        <v>100000</v>
      </c>
      <c r="H110" s="106"/>
      <c r="I110" s="136"/>
      <c r="J110" s="140">
        <f t="shared" si="7"/>
        <v>5169947</v>
      </c>
      <c r="K110" s="149" t="str">
        <f t="shared" si="4"/>
        <v>OK</v>
      </c>
      <c r="L110" s="151" t="str">
        <f t="shared" si="5"/>
        <v>July</v>
      </c>
      <c r="M110" s="152">
        <f t="shared" si="6"/>
        <v>2019</v>
      </c>
    </row>
    <row r="111" spans="2:13" x14ac:dyDescent="0.25">
      <c r="B111" s="144" t="s">
        <v>699</v>
      </c>
      <c r="C111" s="134">
        <v>43661</v>
      </c>
      <c r="D111" s="119" t="s">
        <v>999</v>
      </c>
      <c r="E111" s="123">
        <v>335</v>
      </c>
      <c r="F111" s="133"/>
      <c r="G111" s="127"/>
      <c r="H111" s="106"/>
      <c r="I111" s="136"/>
      <c r="J111" s="140">
        <f t="shared" si="7"/>
        <v>5169947</v>
      </c>
      <c r="K111" s="149" t="str">
        <f t="shared" si="4"/>
        <v>OK</v>
      </c>
      <c r="L111" s="151" t="str">
        <f t="shared" si="5"/>
        <v>July</v>
      </c>
      <c r="M111" s="152">
        <f t="shared" si="6"/>
        <v>2019</v>
      </c>
    </row>
    <row r="112" spans="2:13" x14ac:dyDescent="0.25">
      <c r="B112" s="144" t="s">
        <v>700</v>
      </c>
      <c r="C112" s="134">
        <v>43662</v>
      </c>
      <c r="D112" s="120" t="s">
        <v>1000</v>
      </c>
      <c r="E112" s="123">
        <v>336</v>
      </c>
      <c r="F112" s="133"/>
      <c r="G112" s="127"/>
      <c r="H112" s="106"/>
      <c r="I112" s="136"/>
      <c r="J112" s="140">
        <f t="shared" si="7"/>
        <v>5169947</v>
      </c>
      <c r="K112" s="149" t="str">
        <f t="shared" si="4"/>
        <v>OK</v>
      </c>
      <c r="L112" s="151" t="str">
        <f t="shared" si="5"/>
        <v>July</v>
      </c>
      <c r="M112" s="152">
        <f t="shared" si="6"/>
        <v>2019</v>
      </c>
    </row>
    <row r="113" spans="2:13" x14ac:dyDescent="0.25">
      <c r="B113" s="144" t="s">
        <v>701</v>
      </c>
      <c r="C113" s="134">
        <v>43663</v>
      </c>
      <c r="D113" s="120" t="s">
        <v>1000</v>
      </c>
      <c r="E113" s="123">
        <v>337</v>
      </c>
      <c r="F113" s="133"/>
      <c r="G113" s="127"/>
      <c r="H113" s="106"/>
      <c r="I113" s="136"/>
      <c r="J113" s="140">
        <f t="shared" si="7"/>
        <v>5169947</v>
      </c>
      <c r="K113" s="149" t="str">
        <f t="shared" si="4"/>
        <v>OK</v>
      </c>
      <c r="L113" s="151" t="str">
        <f t="shared" si="5"/>
        <v>July</v>
      </c>
      <c r="M113" s="152">
        <f t="shared" si="6"/>
        <v>2019</v>
      </c>
    </row>
    <row r="114" spans="2:13" x14ac:dyDescent="0.25">
      <c r="B114" s="144" t="s">
        <v>702</v>
      </c>
      <c r="C114" s="134">
        <v>43664</v>
      </c>
      <c r="D114" s="119" t="s">
        <v>999</v>
      </c>
      <c r="E114" s="123">
        <v>338</v>
      </c>
      <c r="F114" s="133"/>
      <c r="G114" s="127"/>
      <c r="H114" s="106"/>
      <c r="I114" s="136"/>
      <c r="J114" s="140">
        <f t="shared" si="7"/>
        <v>5169947</v>
      </c>
      <c r="K114" s="149" t="str">
        <f t="shared" si="4"/>
        <v>OK</v>
      </c>
      <c r="L114" s="151" t="str">
        <f t="shared" si="5"/>
        <v>July</v>
      </c>
      <c r="M114" s="152">
        <f t="shared" si="6"/>
        <v>2019</v>
      </c>
    </row>
    <row r="115" spans="2:13" x14ac:dyDescent="0.25">
      <c r="B115" s="144" t="s">
        <v>703</v>
      </c>
      <c r="C115" s="134">
        <v>43665</v>
      </c>
      <c r="D115" s="120" t="s">
        <v>1000</v>
      </c>
      <c r="E115" s="123">
        <v>339</v>
      </c>
      <c r="F115" s="133">
        <v>2000</v>
      </c>
      <c r="G115" s="127"/>
      <c r="H115" s="106"/>
      <c r="I115" s="136"/>
      <c r="J115" s="140">
        <f t="shared" si="7"/>
        <v>5171947</v>
      </c>
      <c r="K115" s="149" t="str">
        <f t="shared" si="4"/>
        <v>OK</v>
      </c>
      <c r="L115" s="151" t="str">
        <f t="shared" si="5"/>
        <v>July</v>
      </c>
      <c r="M115" s="152">
        <f t="shared" si="6"/>
        <v>2019</v>
      </c>
    </row>
    <row r="116" spans="2:13" x14ac:dyDescent="0.25">
      <c r="B116" s="144" t="s">
        <v>704</v>
      </c>
      <c r="C116" s="134">
        <v>43666</v>
      </c>
      <c r="D116" s="120" t="s">
        <v>1000</v>
      </c>
      <c r="E116" s="123">
        <v>340</v>
      </c>
      <c r="F116" s="133"/>
      <c r="G116" s="127"/>
      <c r="H116" s="106"/>
      <c r="I116" s="136"/>
      <c r="J116" s="140">
        <f t="shared" si="7"/>
        <v>5171947</v>
      </c>
      <c r="K116" s="149" t="str">
        <f t="shared" si="4"/>
        <v>OK</v>
      </c>
      <c r="L116" s="151" t="str">
        <f t="shared" si="5"/>
        <v>July</v>
      </c>
      <c r="M116" s="152">
        <f t="shared" si="6"/>
        <v>2019</v>
      </c>
    </row>
    <row r="117" spans="2:13" x14ac:dyDescent="0.25">
      <c r="B117" s="144" t="s">
        <v>705</v>
      </c>
      <c r="C117" s="134">
        <v>43667</v>
      </c>
      <c r="D117" s="119" t="s">
        <v>999</v>
      </c>
      <c r="E117" s="123">
        <v>341</v>
      </c>
      <c r="F117" s="133"/>
      <c r="G117" s="127">
        <v>100000</v>
      </c>
      <c r="H117" s="106"/>
      <c r="I117" s="136"/>
      <c r="J117" s="140">
        <f t="shared" si="7"/>
        <v>5071947</v>
      </c>
      <c r="K117" s="149" t="str">
        <f t="shared" si="4"/>
        <v>OK</v>
      </c>
      <c r="L117" s="151" t="str">
        <f t="shared" si="5"/>
        <v>July</v>
      </c>
      <c r="M117" s="152">
        <f t="shared" si="6"/>
        <v>2019</v>
      </c>
    </row>
    <row r="118" spans="2:13" x14ac:dyDescent="0.25">
      <c r="B118" s="144" t="s">
        <v>706</v>
      </c>
      <c r="C118" s="134">
        <v>43926</v>
      </c>
      <c r="D118" s="120" t="s">
        <v>1000</v>
      </c>
      <c r="E118" s="123">
        <v>342</v>
      </c>
      <c r="F118" s="133">
        <v>100000</v>
      </c>
      <c r="G118" s="127"/>
      <c r="H118" s="106"/>
      <c r="I118" s="136"/>
      <c r="J118" s="140">
        <f t="shared" si="7"/>
        <v>5171947</v>
      </c>
      <c r="K118" s="149" t="str">
        <f t="shared" si="4"/>
        <v>OK</v>
      </c>
      <c r="L118" s="151" t="str">
        <f t="shared" si="5"/>
        <v>April</v>
      </c>
      <c r="M118" s="152">
        <f t="shared" si="6"/>
        <v>2020</v>
      </c>
    </row>
    <row r="119" spans="2:13" x14ac:dyDescent="0.25">
      <c r="B119" s="144" t="s">
        <v>707</v>
      </c>
      <c r="C119" s="134">
        <v>43669</v>
      </c>
      <c r="D119" s="119"/>
      <c r="E119" s="123">
        <v>343</v>
      </c>
      <c r="F119" s="133"/>
      <c r="G119" s="127"/>
      <c r="H119" s="106"/>
      <c r="I119" s="136"/>
      <c r="J119" s="140">
        <f t="shared" si="7"/>
        <v>5171947</v>
      </c>
      <c r="K119" s="149" t="str">
        <f t="shared" si="4"/>
        <v>OK</v>
      </c>
      <c r="L119" s="151" t="str">
        <f t="shared" si="5"/>
        <v>July</v>
      </c>
      <c r="M119" s="152">
        <f t="shared" si="6"/>
        <v>2019</v>
      </c>
    </row>
    <row r="120" spans="2:13" x14ac:dyDescent="0.25">
      <c r="B120" s="144" t="s">
        <v>708</v>
      </c>
      <c r="C120" s="134">
        <v>43670</v>
      </c>
      <c r="D120" s="120"/>
      <c r="E120" s="123">
        <v>344</v>
      </c>
      <c r="F120" s="133"/>
      <c r="G120" s="127"/>
      <c r="H120" s="106"/>
      <c r="I120" s="136"/>
      <c r="J120" s="140">
        <f t="shared" si="7"/>
        <v>5171947</v>
      </c>
      <c r="K120" s="149" t="str">
        <f t="shared" si="4"/>
        <v>OK</v>
      </c>
      <c r="L120" s="151" t="str">
        <f t="shared" si="5"/>
        <v>July</v>
      </c>
      <c r="M120" s="152">
        <f t="shared" si="6"/>
        <v>2019</v>
      </c>
    </row>
    <row r="121" spans="2:13" x14ac:dyDescent="0.25">
      <c r="B121" s="144" t="s">
        <v>709</v>
      </c>
      <c r="C121" s="134">
        <v>43671</v>
      </c>
      <c r="D121" s="120"/>
      <c r="E121" s="123">
        <v>345</v>
      </c>
      <c r="F121" s="133"/>
      <c r="G121" s="127"/>
      <c r="H121" s="106"/>
      <c r="I121" s="136"/>
      <c r="J121" s="140">
        <f t="shared" si="7"/>
        <v>5171947</v>
      </c>
      <c r="K121" s="149" t="str">
        <f t="shared" si="4"/>
        <v>OK</v>
      </c>
      <c r="L121" s="151" t="str">
        <f t="shared" si="5"/>
        <v>July</v>
      </c>
      <c r="M121" s="152">
        <f t="shared" si="6"/>
        <v>2019</v>
      </c>
    </row>
    <row r="122" spans="2:13" x14ac:dyDescent="0.25">
      <c r="B122" s="144" t="s">
        <v>710</v>
      </c>
      <c r="C122" s="134">
        <v>43672</v>
      </c>
      <c r="D122" s="119"/>
      <c r="E122" s="123">
        <v>346</v>
      </c>
      <c r="F122" s="133"/>
      <c r="G122" s="127"/>
      <c r="H122" s="106"/>
      <c r="I122" s="136"/>
      <c r="J122" s="140">
        <f t="shared" si="7"/>
        <v>5171947</v>
      </c>
      <c r="K122" s="149" t="str">
        <f t="shared" si="4"/>
        <v>OK</v>
      </c>
      <c r="L122" s="151" t="str">
        <f t="shared" si="5"/>
        <v>July</v>
      </c>
      <c r="M122" s="152">
        <f t="shared" si="6"/>
        <v>2019</v>
      </c>
    </row>
    <row r="123" spans="2:13" x14ac:dyDescent="0.25">
      <c r="B123" s="144" t="s">
        <v>711</v>
      </c>
      <c r="C123" s="134">
        <v>43673</v>
      </c>
      <c r="D123" s="120"/>
      <c r="E123" s="123">
        <v>347</v>
      </c>
      <c r="F123" s="133"/>
      <c r="G123" s="127"/>
      <c r="H123" s="106"/>
      <c r="I123" s="136"/>
      <c r="J123" s="140">
        <f t="shared" si="7"/>
        <v>5171947</v>
      </c>
      <c r="K123" s="149" t="str">
        <f t="shared" si="4"/>
        <v>OK</v>
      </c>
      <c r="L123" s="151" t="str">
        <f t="shared" si="5"/>
        <v>July</v>
      </c>
      <c r="M123" s="152">
        <f t="shared" si="6"/>
        <v>2019</v>
      </c>
    </row>
    <row r="124" spans="2:13" x14ac:dyDescent="0.25">
      <c r="B124" s="144" t="s">
        <v>712</v>
      </c>
      <c r="C124" s="134">
        <v>43674</v>
      </c>
      <c r="D124" s="119"/>
      <c r="E124" s="123">
        <v>348</v>
      </c>
      <c r="F124" s="133"/>
      <c r="G124" s="127"/>
      <c r="H124" s="106"/>
      <c r="I124" s="136"/>
      <c r="J124" s="140">
        <f t="shared" si="7"/>
        <v>5171947</v>
      </c>
      <c r="K124" s="149" t="str">
        <f t="shared" si="4"/>
        <v>OK</v>
      </c>
      <c r="L124" s="151" t="str">
        <f t="shared" si="5"/>
        <v>July</v>
      </c>
      <c r="M124" s="152">
        <f t="shared" si="6"/>
        <v>2019</v>
      </c>
    </row>
    <row r="125" spans="2:13" x14ac:dyDescent="0.25">
      <c r="B125" s="144" t="s">
        <v>713</v>
      </c>
      <c r="C125" s="134">
        <v>43675</v>
      </c>
      <c r="D125" s="120"/>
      <c r="E125" s="123">
        <v>349</v>
      </c>
      <c r="F125" s="133"/>
      <c r="G125" s="127"/>
      <c r="H125" s="106"/>
      <c r="I125" s="136"/>
      <c r="J125" s="140">
        <f t="shared" si="7"/>
        <v>5171947</v>
      </c>
      <c r="K125" s="149" t="str">
        <f t="shared" si="4"/>
        <v>OK</v>
      </c>
      <c r="L125" s="151" t="str">
        <f t="shared" si="5"/>
        <v>July</v>
      </c>
      <c r="M125" s="152">
        <f t="shared" si="6"/>
        <v>2019</v>
      </c>
    </row>
    <row r="126" spans="2:13" x14ac:dyDescent="0.25">
      <c r="B126" s="144" t="s">
        <v>714</v>
      </c>
      <c r="C126" s="134">
        <v>43676</v>
      </c>
      <c r="D126" s="120"/>
      <c r="E126" s="123">
        <v>350</v>
      </c>
      <c r="F126" s="133"/>
      <c r="G126" s="127"/>
      <c r="H126" s="106"/>
      <c r="I126" s="136"/>
      <c r="J126" s="140">
        <f t="shared" si="7"/>
        <v>5171947</v>
      </c>
      <c r="K126" s="149" t="str">
        <f t="shared" si="4"/>
        <v>OK</v>
      </c>
      <c r="L126" s="151" t="str">
        <f t="shared" si="5"/>
        <v>July</v>
      </c>
      <c r="M126" s="152">
        <f t="shared" si="6"/>
        <v>2019</v>
      </c>
    </row>
    <row r="127" spans="2:13" x14ac:dyDescent="0.25">
      <c r="B127" s="144" t="s">
        <v>715</v>
      </c>
      <c r="C127" s="134">
        <v>43677</v>
      </c>
      <c r="D127" s="120"/>
      <c r="E127" s="123">
        <v>351</v>
      </c>
      <c r="F127" s="133"/>
      <c r="G127" s="127"/>
      <c r="H127" s="106"/>
      <c r="I127" s="136"/>
      <c r="J127" s="140">
        <f t="shared" si="7"/>
        <v>5171947</v>
      </c>
      <c r="K127" s="149" t="str">
        <f t="shared" si="4"/>
        <v>OK</v>
      </c>
      <c r="L127" s="151" t="str">
        <f t="shared" si="5"/>
        <v>July</v>
      </c>
      <c r="M127" s="152">
        <f t="shared" si="6"/>
        <v>2019</v>
      </c>
    </row>
    <row r="128" spans="2:13" x14ac:dyDescent="0.25">
      <c r="B128" s="144" t="s">
        <v>716</v>
      </c>
      <c r="C128" s="134">
        <v>43678</v>
      </c>
      <c r="D128" s="120"/>
      <c r="E128" s="123">
        <v>352</v>
      </c>
      <c r="F128" s="133"/>
      <c r="G128" s="127"/>
      <c r="H128" s="106"/>
      <c r="I128" s="136"/>
      <c r="J128" s="140">
        <f t="shared" si="7"/>
        <v>5171947</v>
      </c>
      <c r="K128" s="149" t="str">
        <f t="shared" si="4"/>
        <v>OK</v>
      </c>
      <c r="L128" s="151" t="str">
        <f t="shared" si="5"/>
        <v>August</v>
      </c>
      <c r="M128" s="152">
        <f t="shared" si="6"/>
        <v>2019</v>
      </c>
    </row>
    <row r="129" spans="2:13" x14ac:dyDescent="0.25">
      <c r="B129" s="144" t="s">
        <v>717</v>
      </c>
      <c r="C129" s="134">
        <v>43679</v>
      </c>
      <c r="D129" s="120"/>
      <c r="E129" s="123">
        <v>353</v>
      </c>
      <c r="F129" s="133"/>
      <c r="G129" s="127"/>
      <c r="H129" s="106"/>
      <c r="I129" s="136"/>
      <c r="J129" s="140">
        <f t="shared" si="7"/>
        <v>5171947</v>
      </c>
      <c r="K129" s="149" t="str">
        <f t="shared" si="4"/>
        <v>OK</v>
      </c>
      <c r="L129" s="151" t="str">
        <f t="shared" si="5"/>
        <v>August</v>
      </c>
      <c r="M129" s="152">
        <f t="shared" si="6"/>
        <v>2019</v>
      </c>
    </row>
    <row r="130" spans="2:13" x14ac:dyDescent="0.25">
      <c r="B130" s="144" t="s">
        <v>718</v>
      </c>
      <c r="C130" s="134">
        <v>43680</v>
      </c>
      <c r="D130" s="120"/>
      <c r="E130" s="123">
        <v>354</v>
      </c>
      <c r="F130" s="133"/>
      <c r="G130" s="127"/>
      <c r="H130" s="106"/>
      <c r="I130" s="136"/>
      <c r="J130" s="140">
        <f t="shared" si="7"/>
        <v>5171947</v>
      </c>
      <c r="K130" s="149" t="str">
        <f t="shared" si="4"/>
        <v>OK</v>
      </c>
      <c r="L130" s="151" t="str">
        <f t="shared" si="5"/>
        <v>August</v>
      </c>
      <c r="M130" s="152">
        <f t="shared" si="6"/>
        <v>2019</v>
      </c>
    </row>
    <row r="131" spans="2:13" x14ac:dyDescent="0.25">
      <c r="B131" s="144" t="s">
        <v>719</v>
      </c>
      <c r="C131" s="134">
        <v>43681</v>
      </c>
      <c r="D131" s="120"/>
      <c r="E131" s="123">
        <v>355</v>
      </c>
      <c r="F131" s="133"/>
      <c r="G131" s="127"/>
      <c r="H131" s="106"/>
      <c r="I131" s="136"/>
      <c r="J131" s="140">
        <f t="shared" si="7"/>
        <v>5171947</v>
      </c>
      <c r="K131" s="149" t="str">
        <f t="shared" si="4"/>
        <v>OK</v>
      </c>
      <c r="L131" s="151" t="str">
        <f t="shared" si="5"/>
        <v>August</v>
      </c>
      <c r="M131" s="152">
        <f t="shared" si="6"/>
        <v>2019</v>
      </c>
    </row>
    <row r="132" spans="2:13" x14ac:dyDescent="0.25">
      <c r="B132" s="144" t="s">
        <v>720</v>
      </c>
      <c r="C132" s="134">
        <v>43682</v>
      </c>
      <c r="D132" s="120"/>
      <c r="E132" s="123">
        <v>356</v>
      </c>
      <c r="F132" s="133"/>
      <c r="G132" s="127"/>
      <c r="H132" s="106"/>
      <c r="I132" s="136"/>
      <c r="J132" s="140">
        <f t="shared" si="7"/>
        <v>5171947</v>
      </c>
      <c r="K132" s="149" t="str">
        <f t="shared" si="4"/>
        <v>OK</v>
      </c>
      <c r="L132" s="151" t="str">
        <f t="shared" si="5"/>
        <v>August</v>
      </c>
      <c r="M132" s="152">
        <f t="shared" si="6"/>
        <v>2019</v>
      </c>
    </row>
    <row r="133" spans="2:13" x14ac:dyDescent="0.25">
      <c r="B133" s="144" t="s">
        <v>721</v>
      </c>
      <c r="C133" s="134">
        <v>43683</v>
      </c>
      <c r="D133" s="120"/>
      <c r="E133" s="123">
        <v>357</v>
      </c>
      <c r="F133" s="133"/>
      <c r="G133" s="127"/>
      <c r="H133" s="106"/>
      <c r="I133" s="136"/>
      <c r="J133" s="140">
        <f t="shared" si="7"/>
        <v>5171947</v>
      </c>
      <c r="K133" s="149" t="str">
        <f t="shared" si="4"/>
        <v>OK</v>
      </c>
      <c r="L133" s="151" t="str">
        <f t="shared" si="5"/>
        <v>August</v>
      </c>
      <c r="M133" s="152">
        <f t="shared" si="6"/>
        <v>2019</v>
      </c>
    </row>
    <row r="134" spans="2:13" x14ac:dyDescent="0.25">
      <c r="B134" s="144" t="s">
        <v>722</v>
      </c>
      <c r="C134" s="134">
        <v>43684</v>
      </c>
      <c r="D134" s="120"/>
      <c r="E134" s="123">
        <v>358</v>
      </c>
      <c r="F134" s="133"/>
      <c r="G134" s="127"/>
      <c r="H134" s="106"/>
      <c r="I134" s="136"/>
      <c r="J134" s="140">
        <f t="shared" si="7"/>
        <v>5171947</v>
      </c>
      <c r="K134" s="149" t="str">
        <f t="shared" si="4"/>
        <v>OK</v>
      </c>
      <c r="L134" s="151" t="str">
        <f t="shared" si="5"/>
        <v>August</v>
      </c>
      <c r="M134" s="152">
        <f t="shared" si="6"/>
        <v>2019</v>
      </c>
    </row>
    <row r="135" spans="2:13" x14ac:dyDescent="0.25">
      <c r="B135" s="144" t="s">
        <v>723</v>
      </c>
      <c r="C135" s="134">
        <v>43685</v>
      </c>
      <c r="D135" s="120"/>
      <c r="E135" s="123">
        <v>359</v>
      </c>
      <c r="F135" s="133"/>
      <c r="G135" s="127"/>
      <c r="H135" s="106"/>
      <c r="I135" s="136"/>
      <c r="J135" s="140">
        <f t="shared" si="7"/>
        <v>5171947</v>
      </c>
      <c r="K135" s="149" t="str">
        <f t="shared" si="4"/>
        <v>OK</v>
      </c>
      <c r="L135" s="151" t="str">
        <f t="shared" si="5"/>
        <v>August</v>
      </c>
      <c r="M135" s="152">
        <f t="shared" si="6"/>
        <v>2019</v>
      </c>
    </row>
    <row r="136" spans="2:13" x14ac:dyDescent="0.25">
      <c r="B136" s="144" t="s">
        <v>724</v>
      </c>
      <c r="C136" s="134">
        <v>43686</v>
      </c>
      <c r="D136" s="120"/>
      <c r="E136" s="123">
        <v>360</v>
      </c>
      <c r="F136" s="133"/>
      <c r="G136" s="127"/>
      <c r="H136" s="106"/>
      <c r="I136" s="136"/>
      <c r="J136" s="140">
        <f t="shared" si="7"/>
        <v>5171947</v>
      </c>
      <c r="K136" s="149" t="str">
        <f t="shared" si="4"/>
        <v>OK</v>
      </c>
      <c r="L136" s="151" t="str">
        <f t="shared" si="5"/>
        <v>August</v>
      </c>
      <c r="M136" s="152">
        <f t="shared" si="6"/>
        <v>2019</v>
      </c>
    </row>
    <row r="137" spans="2:13" x14ac:dyDescent="0.25">
      <c r="B137" s="144" t="s">
        <v>725</v>
      </c>
      <c r="C137" s="134">
        <v>43687</v>
      </c>
      <c r="D137" s="120"/>
      <c r="E137" s="123">
        <v>361</v>
      </c>
      <c r="F137" s="133"/>
      <c r="G137" s="127"/>
      <c r="H137" s="106"/>
      <c r="I137" s="136"/>
      <c r="J137" s="140">
        <f t="shared" si="7"/>
        <v>5171947</v>
      </c>
      <c r="K137" s="149" t="str">
        <f t="shared" si="4"/>
        <v>OK</v>
      </c>
      <c r="L137" s="151" t="str">
        <f t="shared" si="5"/>
        <v>August</v>
      </c>
      <c r="M137" s="152">
        <f t="shared" si="6"/>
        <v>2019</v>
      </c>
    </row>
    <row r="138" spans="2:13" x14ac:dyDescent="0.25">
      <c r="B138" s="144" t="s">
        <v>726</v>
      </c>
      <c r="C138" s="134">
        <v>43688</v>
      </c>
      <c r="D138" s="120"/>
      <c r="E138" s="123">
        <v>362</v>
      </c>
      <c r="F138" s="133"/>
      <c r="G138" s="127"/>
      <c r="H138" s="106"/>
      <c r="I138" s="136"/>
      <c r="J138" s="140">
        <f t="shared" si="7"/>
        <v>5171947</v>
      </c>
      <c r="K138" s="149" t="str">
        <f t="shared" si="4"/>
        <v>OK</v>
      </c>
      <c r="L138" s="151" t="str">
        <f t="shared" si="5"/>
        <v>August</v>
      </c>
      <c r="M138" s="152">
        <f t="shared" si="6"/>
        <v>2019</v>
      </c>
    </row>
    <row r="139" spans="2:13" x14ac:dyDescent="0.25">
      <c r="B139" s="144" t="s">
        <v>727</v>
      </c>
      <c r="C139" s="134">
        <v>43689</v>
      </c>
      <c r="D139" s="120"/>
      <c r="E139" s="123">
        <v>363</v>
      </c>
      <c r="F139" s="133"/>
      <c r="G139" s="127"/>
      <c r="H139" s="106"/>
      <c r="I139" s="136"/>
      <c r="J139" s="140">
        <f t="shared" si="7"/>
        <v>5171947</v>
      </c>
      <c r="K139" s="149" t="str">
        <f t="shared" ref="K139:K202" si="8">IF(AND(F139&lt;&gt;"",G139&lt;&gt;""),"ERROR","OK")</f>
        <v>OK</v>
      </c>
      <c r="L139" s="151" t="str">
        <f t="shared" ref="L139:L202" si="9">TEXT(C139,"mmmm")</f>
        <v>August</v>
      </c>
      <c r="M139" s="152">
        <f t="shared" ref="M139:M202" si="10">YEAR(C139)</f>
        <v>2019</v>
      </c>
    </row>
    <row r="140" spans="2:13" x14ac:dyDescent="0.25">
      <c r="B140" s="144" t="s">
        <v>728</v>
      </c>
      <c r="C140" s="134">
        <v>43690</v>
      </c>
      <c r="D140" s="120"/>
      <c r="E140" s="123">
        <v>364</v>
      </c>
      <c r="F140" s="133"/>
      <c r="G140" s="127"/>
      <c r="H140" s="106"/>
      <c r="I140" s="136"/>
      <c r="J140" s="140">
        <f t="shared" ref="J140:J203" si="11">($J139+$F140)-$G140</f>
        <v>5171947</v>
      </c>
      <c r="K140" s="149" t="str">
        <f t="shared" si="8"/>
        <v>OK</v>
      </c>
      <c r="L140" s="151" t="str">
        <f t="shared" si="9"/>
        <v>August</v>
      </c>
      <c r="M140" s="152">
        <f t="shared" si="10"/>
        <v>2019</v>
      </c>
    </row>
    <row r="141" spans="2:13" x14ac:dyDescent="0.25">
      <c r="B141" s="144" t="s">
        <v>729</v>
      </c>
      <c r="C141" s="134">
        <v>43691</v>
      </c>
      <c r="D141" s="120"/>
      <c r="E141" s="123">
        <v>365</v>
      </c>
      <c r="F141" s="133"/>
      <c r="G141" s="127"/>
      <c r="H141" s="106"/>
      <c r="I141" s="136"/>
      <c r="J141" s="140">
        <f t="shared" si="11"/>
        <v>5171947</v>
      </c>
      <c r="K141" s="149" t="str">
        <f t="shared" si="8"/>
        <v>OK</v>
      </c>
      <c r="L141" s="151" t="str">
        <f t="shared" si="9"/>
        <v>August</v>
      </c>
      <c r="M141" s="152">
        <f t="shared" si="10"/>
        <v>2019</v>
      </c>
    </row>
    <row r="142" spans="2:13" x14ac:dyDescent="0.25">
      <c r="B142" s="144" t="s">
        <v>730</v>
      </c>
      <c r="C142" s="134">
        <v>43692</v>
      </c>
      <c r="D142" s="120"/>
      <c r="E142" s="123">
        <v>366</v>
      </c>
      <c r="F142" s="133"/>
      <c r="G142" s="127"/>
      <c r="H142" s="106"/>
      <c r="I142" s="136"/>
      <c r="J142" s="140">
        <f t="shared" si="11"/>
        <v>5171947</v>
      </c>
      <c r="K142" s="149" t="str">
        <f t="shared" si="8"/>
        <v>OK</v>
      </c>
      <c r="L142" s="151" t="str">
        <f t="shared" si="9"/>
        <v>August</v>
      </c>
      <c r="M142" s="152">
        <f t="shared" si="10"/>
        <v>2019</v>
      </c>
    </row>
    <row r="143" spans="2:13" x14ac:dyDescent="0.25">
      <c r="B143" s="144" t="s">
        <v>731</v>
      </c>
      <c r="C143" s="134">
        <v>43693</v>
      </c>
      <c r="D143" s="120"/>
      <c r="E143" s="123">
        <v>367</v>
      </c>
      <c r="F143" s="133"/>
      <c r="G143" s="127"/>
      <c r="H143" s="106"/>
      <c r="I143" s="136"/>
      <c r="J143" s="140">
        <f t="shared" si="11"/>
        <v>5171947</v>
      </c>
      <c r="K143" s="149" t="str">
        <f t="shared" si="8"/>
        <v>OK</v>
      </c>
      <c r="L143" s="151" t="str">
        <f t="shared" si="9"/>
        <v>August</v>
      </c>
      <c r="M143" s="152">
        <f t="shared" si="10"/>
        <v>2019</v>
      </c>
    </row>
    <row r="144" spans="2:13" x14ac:dyDescent="0.25">
      <c r="B144" s="144" t="s">
        <v>732</v>
      </c>
      <c r="C144" s="134">
        <v>43694</v>
      </c>
      <c r="D144" s="120"/>
      <c r="E144" s="123">
        <v>368</v>
      </c>
      <c r="F144" s="133"/>
      <c r="G144" s="127"/>
      <c r="H144" s="106"/>
      <c r="I144" s="136"/>
      <c r="J144" s="140">
        <f t="shared" si="11"/>
        <v>5171947</v>
      </c>
      <c r="K144" s="149" t="str">
        <f t="shared" si="8"/>
        <v>OK</v>
      </c>
      <c r="L144" s="151" t="str">
        <f t="shared" si="9"/>
        <v>August</v>
      </c>
      <c r="M144" s="152">
        <f t="shared" si="10"/>
        <v>2019</v>
      </c>
    </row>
    <row r="145" spans="2:13" x14ac:dyDescent="0.25">
      <c r="B145" s="144" t="s">
        <v>733</v>
      </c>
      <c r="C145" s="134">
        <v>43695</v>
      </c>
      <c r="D145" s="120"/>
      <c r="E145" s="123">
        <v>369</v>
      </c>
      <c r="F145" s="133"/>
      <c r="G145" s="127"/>
      <c r="H145" s="106"/>
      <c r="I145" s="136"/>
      <c r="J145" s="140">
        <f t="shared" si="11"/>
        <v>5171947</v>
      </c>
      <c r="K145" s="149" t="str">
        <f t="shared" si="8"/>
        <v>OK</v>
      </c>
      <c r="L145" s="151" t="str">
        <f t="shared" si="9"/>
        <v>August</v>
      </c>
      <c r="M145" s="152">
        <f t="shared" si="10"/>
        <v>2019</v>
      </c>
    </row>
    <row r="146" spans="2:13" x14ac:dyDescent="0.25">
      <c r="B146" s="144" t="s">
        <v>734</v>
      </c>
      <c r="C146" s="134">
        <v>43696</v>
      </c>
      <c r="D146" s="120"/>
      <c r="E146" s="123">
        <v>370</v>
      </c>
      <c r="F146" s="133"/>
      <c r="G146" s="127"/>
      <c r="H146" s="106"/>
      <c r="I146" s="136"/>
      <c r="J146" s="140">
        <f t="shared" si="11"/>
        <v>5171947</v>
      </c>
      <c r="K146" s="149" t="str">
        <f t="shared" si="8"/>
        <v>OK</v>
      </c>
      <c r="L146" s="151" t="str">
        <f t="shared" si="9"/>
        <v>August</v>
      </c>
      <c r="M146" s="152">
        <f t="shared" si="10"/>
        <v>2019</v>
      </c>
    </row>
    <row r="147" spans="2:13" x14ac:dyDescent="0.25">
      <c r="B147" s="144" t="s">
        <v>735</v>
      </c>
      <c r="C147" s="134">
        <v>43697</v>
      </c>
      <c r="D147" s="120"/>
      <c r="E147" s="123">
        <v>371</v>
      </c>
      <c r="F147" s="133"/>
      <c r="G147" s="127"/>
      <c r="H147" s="106"/>
      <c r="I147" s="136"/>
      <c r="J147" s="140">
        <f t="shared" si="11"/>
        <v>5171947</v>
      </c>
      <c r="K147" s="149" t="str">
        <f t="shared" si="8"/>
        <v>OK</v>
      </c>
      <c r="L147" s="151" t="str">
        <f t="shared" si="9"/>
        <v>August</v>
      </c>
      <c r="M147" s="152">
        <f t="shared" si="10"/>
        <v>2019</v>
      </c>
    </row>
    <row r="148" spans="2:13" x14ac:dyDescent="0.25">
      <c r="B148" s="144" t="s">
        <v>736</v>
      </c>
      <c r="C148" s="134">
        <v>43698</v>
      </c>
      <c r="D148" s="120"/>
      <c r="E148" s="123">
        <v>372</v>
      </c>
      <c r="F148" s="133"/>
      <c r="G148" s="127"/>
      <c r="H148" s="106"/>
      <c r="I148" s="136"/>
      <c r="J148" s="140">
        <f t="shared" si="11"/>
        <v>5171947</v>
      </c>
      <c r="K148" s="149" t="str">
        <f t="shared" si="8"/>
        <v>OK</v>
      </c>
      <c r="L148" s="151" t="str">
        <f t="shared" si="9"/>
        <v>August</v>
      </c>
      <c r="M148" s="152">
        <f t="shared" si="10"/>
        <v>2019</v>
      </c>
    </row>
    <row r="149" spans="2:13" x14ac:dyDescent="0.25">
      <c r="B149" s="144" t="s">
        <v>737</v>
      </c>
      <c r="C149" s="134">
        <v>43699</v>
      </c>
      <c r="D149" s="120"/>
      <c r="E149" s="123">
        <v>373</v>
      </c>
      <c r="F149" s="133"/>
      <c r="G149" s="127"/>
      <c r="H149" s="106"/>
      <c r="I149" s="136"/>
      <c r="J149" s="140">
        <f t="shared" si="11"/>
        <v>5171947</v>
      </c>
      <c r="K149" s="149" t="str">
        <f t="shared" si="8"/>
        <v>OK</v>
      </c>
      <c r="L149" s="151" t="str">
        <f t="shared" si="9"/>
        <v>August</v>
      </c>
      <c r="M149" s="152">
        <f t="shared" si="10"/>
        <v>2019</v>
      </c>
    </row>
    <row r="150" spans="2:13" x14ac:dyDescent="0.25">
      <c r="B150" s="144" t="s">
        <v>738</v>
      </c>
      <c r="C150" s="134">
        <v>43700</v>
      </c>
      <c r="D150" s="120"/>
      <c r="E150" s="123">
        <v>374</v>
      </c>
      <c r="F150" s="133"/>
      <c r="G150" s="127"/>
      <c r="H150" s="106"/>
      <c r="I150" s="136"/>
      <c r="J150" s="140">
        <f t="shared" si="11"/>
        <v>5171947</v>
      </c>
      <c r="K150" s="149" t="str">
        <f t="shared" si="8"/>
        <v>OK</v>
      </c>
      <c r="L150" s="151" t="str">
        <f t="shared" si="9"/>
        <v>August</v>
      </c>
      <c r="M150" s="152">
        <f t="shared" si="10"/>
        <v>2019</v>
      </c>
    </row>
    <row r="151" spans="2:13" x14ac:dyDescent="0.25">
      <c r="B151" s="144" t="s">
        <v>739</v>
      </c>
      <c r="C151" s="134">
        <v>43701</v>
      </c>
      <c r="D151" s="120"/>
      <c r="E151" s="123">
        <v>375</v>
      </c>
      <c r="F151" s="133"/>
      <c r="G151" s="127"/>
      <c r="H151" s="106"/>
      <c r="I151" s="136"/>
      <c r="J151" s="140">
        <f t="shared" si="11"/>
        <v>5171947</v>
      </c>
      <c r="K151" s="149" t="str">
        <f t="shared" si="8"/>
        <v>OK</v>
      </c>
      <c r="L151" s="151" t="str">
        <f t="shared" si="9"/>
        <v>August</v>
      </c>
      <c r="M151" s="152">
        <f t="shared" si="10"/>
        <v>2019</v>
      </c>
    </row>
    <row r="152" spans="2:13" x14ac:dyDescent="0.25">
      <c r="B152" s="144" t="s">
        <v>740</v>
      </c>
      <c r="C152" s="134">
        <v>43702</v>
      </c>
      <c r="D152" s="120"/>
      <c r="E152" s="123">
        <v>376</v>
      </c>
      <c r="F152" s="133"/>
      <c r="G152" s="127"/>
      <c r="H152" s="106"/>
      <c r="I152" s="136"/>
      <c r="J152" s="140">
        <f t="shared" si="11"/>
        <v>5171947</v>
      </c>
      <c r="K152" s="149" t="str">
        <f t="shared" si="8"/>
        <v>OK</v>
      </c>
      <c r="L152" s="151" t="str">
        <f t="shared" si="9"/>
        <v>August</v>
      </c>
      <c r="M152" s="152">
        <f t="shared" si="10"/>
        <v>2019</v>
      </c>
    </row>
    <row r="153" spans="2:13" x14ac:dyDescent="0.25">
      <c r="B153" s="144" t="s">
        <v>741</v>
      </c>
      <c r="C153" s="134">
        <v>43703</v>
      </c>
      <c r="D153" s="120"/>
      <c r="E153" s="123">
        <v>377</v>
      </c>
      <c r="F153" s="133"/>
      <c r="G153" s="127"/>
      <c r="H153" s="106"/>
      <c r="I153" s="136"/>
      <c r="J153" s="140">
        <f t="shared" si="11"/>
        <v>5171947</v>
      </c>
      <c r="K153" s="149" t="str">
        <f t="shared" si="8"/>
        <v>OK</v>
      </c>
      <c r="L153" s="151" t="str">
        <f t="shared" si="9"/>
        <v>August</v>
      </c>
      <c r="M153" s="152">
        <f t="shared" si="10"/>
        <v>2019</v>
      </c>
    </row>
    <row r="154" spans="2:13" x14ac:dyDescent="0.25">
      <c r="B154" s="144" t="s">
        <v>742</v>
      </c>
      <c r="C154" s="134">
        <v>43704</v>
      </c>
      <c r="D154" s="120"/>
      <c r="E154" s="123">
        <v>378</v>
      </c>
      <c r="F154" s="133"/>
      <c r="G154" s="127"/>
      <c r="H154" s="106"/>
      <c r="I154" s="136"/>
      <c r="J154" s="140">
        <f t="shared" si="11"/>
        <v>5171947</v>
      </c>
      <c r="K154" s="149" t="str">
        <f t="shared" si="8"/>
        <v>OK</v>
      </c>
      <c r="L154" s="151" t="str">
        <f t="shared" si="9"/>
        <v>August</v>
      </c>
      <c r="M154" s="152">
        <f t="shared" si="10"/>
        <v>2019</v>
      </c>
    </row>
    <row r="155" spans="2:13" x14ac:dyDescent="0.25">
      <c r="B155" s="144" t="s">
        <v>743</v>
      </c>
      <c r="C155" s="134">
        <v>43705</v>
      </c>
      <c r="D155" s="120"/>
      <c r="E155" s="123">
        <v>379</v>
      </c>
      <c r="F155" s="133"/>
      <c r="G155" s="127"/>
      <c r="H155" s="106"/>
      <c r="I155" s="136"/>
      <c r="J155" s="140">
        <f t="shared" si="11"/>
        <v>5171947</v>
      </c>
      <c r="K155" s="149" t="str">
        <f t="shared" si="8"/>
        <v>OK</v>
      </c>
      <c r="L155" s="151" t="str">
        <f t="shared" si="9"/>
        <v>August</v>
      </c>
      <c r="M155" s="152">
        <f t="shared" si="10"/>
        <v>2019</v>
      </c>
    </row>
    <row r="156" spans="2:13" x14ac:dyDescent="0.25">
      <c r="B156" s="144" t="s">
        <v>744</v>
      </c>
      <c r="C156" s="134">
        <v>43706</v>
      </c>
      <c r="D156" s="120"/>
      <c r="E156" s="123">
        <v>380</v>
      </c>
      <c r="F156" s="133"/>
      <c r="G156" s="127"/>
      <c r="H156" s="106"/>
      <c r="I156" s="136"/>
      <c r="J156" s="140">
        <f t="shared" si="11"/>
        <v>5171947</v>
      </c>
      <c r="K156" s="149" t="str">
        <f t="shared" si="8"/>
        <v>OK</v>
      </c>
      <c r="L156" s="151" t="str">
        <f t="shared" si="9"/>
        <v>August</v>
      </c>
      <c r="M156" s="152">
        <f t="shared" si="10"/>
        <v>2019</v>
      </c>
    </row>
    <row r="157" spans="2:13" x14ac:dyDescent="0.25">
      <c r="B157" s="144" t="s">
        <v>745</v>
      </c>
      <c r="C157" s="134">
        <v>43707</v>
      </c>
      <c r="D157" s="120"/>
      <c r="E157" s="123">
        <v>381</v>
      </c>
      <c r="F157" s="133"/>
      <c r="G157" s="127"/>
      <c r="H157" s="106"/>
      <c r="I157" s="136"/>
      <c r="J157" s="140">
        <f t="shared" si="11"/>
        <v>5171947</v>
      </c>
      <c r="K157" s="149" t="str">
        <f t="shared" si="8"/>
        <v>OK</v>
      </c>
      <c r="L157" s="151" t="str">
        <f t="shared" si="9"/>
        <v>August</v>
      </c>
      <c r="M157" s="152">
        <f t="shared" si="10"/>
        <v>2019</v>
      </c>
    </row>
    <row r="158" spans="2:13" x14ac:dyDescent="0.25">
      <c r="B158" s="144" t="s">
        <v>746</v>
      </c>
      <c r="C158" s="134">
        <v>43708</v>
      </c>
      <c r="D158" s="120"/>
      <c r="E158" s="123">
        <v>382</v>
      </c>
      <c r="F158" s="133"/>
      <c r="G158" s="127"/>
      <c r="H158" s="106"/>
      <c r="I158" s="136"/>
      <c r="J158" s="140">
        <f t="shared" si="11"/>
        <v>5171947</v>
      </c>
      <c r="K158" s="149" t="str">
        <f t="shared" si="8"/>
        <v>OK</v>
      </c>
      <c r="L158" s="151" t="str">
        <f t="shared" si="9"/>
        <v>August</v>
      </c>
      <c r="M158" s="152">
        <f t="shared" si="10"/>
        <v>2019</v>
      </c>
    </row>
    <row r="159" spans="2:13" x14ac:dyDescent="0.25">
      <c r="B159" s="144" t="s">
        <v>747</v>
      </c>
      <c r="C159" s="134">
        <v>43709</v>
      </c>
      <c r="D159" s="120"/>
      <c r="E159" s="123">
        <v>383</v>
      </c>
      <c r="F159" s="133"/>
      <c r="G159" s="127"/>
      <c r="H159" s="106"/>
      <c r="I159" s="136"/>
      <c r="J159" s="140">
        <f t="shared" si="11"/>
        <v>5171947</v>
      </c>
      <c r="K159" s="149" t="str">
        <f t="shared" si="8"/>
        <v>OK</v>
      </c>
      <c r="L159" s="151" t="str">
        <f t="shared" si="9"/>
        <v>September</v>
      </c>
      <c r="M159" s="152">
        <f t="shared" si="10"/>
        <v>2019</v>
      </c>
    </row>
    <row r="160" spans="2:13" x14ac:dyDescent="0.25">
      <c r="B160" s="144" t="s">
        <v>748</v>
      </c>
      <c r="C160" s="134">
        <v>43710</v>
      </c>
      <c r="D160" s="120"/>
      <c r="E160" s="123">
        <v>384</v>
      </c>
      <c r="F160" s="133"/>
      <c r="G160" s="127"/>
      <c r="H160" s="106"/>
      <c r="I160" s="136"/>
      <c r="J160" s="140">
        <f t="shared" si="11"/>
        <v>5171947</v>
      </c>
      <c r="K160" s="149" t="str">
        <f t="shared" si="8"/>
        <v>OK</v>
      </c>
      <c r="L160" s="151" t="str">
        <f t="shared" si="9"/>
        <v>September</v>
      </c>
      <c r="M160" s="152">
        <f t="shared" si="10"/>
        <v>2019</v>
      </c>
    </row>
    <row r="161" spans="2:13" x14ac:dyDescent="0.25">
      <c r="B161" s="144" t="s">
        <v>749</v>
      </c>
      <c r="C161" s="134">
        <v>43711</v>
      </c>
      <c r="D161" s="120"/>
      <c r="E161" s="123">
        <v>385</v>
      </c>
      <c r="F161" s="133"/>
      <c r="G161" s="127"/>
      <c r="H161" s="106"/>
      <c r="I161" s="136"/>
      <c r="J161" s="140">
        <f t="shared" si="11"/>
        <v>5171947</v>
      </c>
      <c r="K161" s="149" t="str">
        <f t="shared" si="8"/>
        <v>OK</v>
      </c>
      <c r="L161" s="151" t="str">
        <f t="shared" si="9"/>
        <v>September</v>
      </c>
      <c r="M161" s="152">
        <f t="shared" si="10"/>
        <v>2019</v>
      </c>
    </row>
    <row r="162" spans="2:13" x14ac:dyDescent="0.25">
      <c r="B162" s="144" t="s">
        <v>750</v>
      </c>
      <c r="C162" s="134">
        <v>43712</v>
      </c>
      <c r="D162" s="120"/>
      <c r="E162" s="123">
        <v>386</v>
      </c>
      <c r="F162" s="133"/>
      <c r="G162" s="127"/>
      <c r="H162" s="106"/>
      <c r="I162" s="136"/>
      <c r="J162" s="140">
        <f t="shared" si="11"/>
        <v>5171947</v>
      </c>
      <c r="K162" s="149" t="str">
        <f t="shared" si="8"/>
        <v>OK</v>
      </c>
      <c r="L162" s="151" t="str">
        <f t="shared" si="9"/>
        <v>September</v>
      </c>
      <c r="M162" s="152">
        <f t="shared" si="10"/>
        <v>2019</v>
      </c>
    </row>
    <row r="163" spans="2:13" x14ac:dyDescent="0.25">
      <c r="B163" s="144" t="s">
        <v>751</v>
      </c>
      <c r="C163" s="134">
        <v>43713</v>
      </c>
      <c r="D163" s="120"/>
      <c r="E163" s="123">
        <v>387</v>
      </c>
      <c r="F163" s="133"/>
      <c r="G163" s="127"/>
      <c r="H163" s="106"/>
      <c r="I163" s="136"/>
      <c r="J163" s="140">
        <f t="shared" si="11"/>
        <v>5171947</v>
      </c>
      <c r="K163" s="149" t="str">
        <f t="shared" si="8"/>
        <v>OK</v>
      </c>
      <c r="L163" s="151" t="str">
        <f t="shared" si="9"/>
        <v>September</v>
      </c>
      <c r="M163" s="152">
        <f t="shared" si="10"/>
        <v>2019</v>
      </c>
    </row>
    <row r="164" spans="2:13" x14ac:dyDescent="0.25">
      <c r="B164" s="144" t="s">
        <v>752</v>
      </c>
      <c r="C164" s="134">
        <v>43714</v>
      </c>
      <c r="D164" s="120"/>
      <c r="E164" s="123">
        <v>388</v>
      </c>
      <c r="F164" s="133"/>
      <c r="G164" s="127"/>
      <c r="H164" s="106"/>
      <c r="I164" s="136"/>
      <c r="J164" s="140">
        <f t="shared" si="11"/>
        <v>5171947</v>
      </c>
      <c r="K164" s="149" t="str">
        <f t="shared" si="8"/>
        <v>OK</v>
      </c>
      <c r="L164" s="151" t="str">
        <f t="shared" si="9"/>
        <v>September</v>
      </c>
      <c r="M164" s="152">
        <f t="shared" si="10"/>
        <v>2019</v>
      </c>
    </row>
    <row r="165" spans="2:13" x14ac:dyDescent="0.25">
      <c r="B165" s="144" t="s">
        <v>753</v>
      </c>
      <c r="C165" s="134">
        <v>43715</v>
      </c>
      <c r="D165" s="120"/>
      <c r="E165" s="123">
        <v>389</v>
      </c>
      <c r="F165" s="133"/>
      <c r="G165" s="127"/>
      <c r="H165" s="106"/>
      <c r="I165" s="136"/>
      <c r="J165" s="140">
        <f t="shared" si="11"/>
        <v>5171947</v>
      </c>
      <c r="K165" s="149" t="str">
        <f t="shared" si="8"/>
        <v>OK</v>
      </c>
      <c r="L165" s="151" t="str">
        <f t="shared" si="9"/>
        <v>September</v>
      </c>
      <c r="M165" s="152">
        <f t="shared" si="10"/>
        <v>2019</v>
      </c>
    </row>
    <row r="166" spans="2:13" x14ac:dyDescent="0.25">
      <c r="B166" s="144" t="s">
        <v>754</v>
      </c>
      <c r="C166" s="134">
        <v>43716</v>
      </c>
      <c r="D166" s="120"/>
      <c r="E166" s="123">
        <v>390</v>
      </c>
      <c r="F166" s="133"/>
      <c r="G166" s="127"/>
      <c r="H166" s="106"/>
      <c r="I166" s="136"/>
      <c r="J166" s="140">
        <f t="shared" si="11"/>
        <v>5171947</v>
      </c>
      <c r="K166" s="149" t="str">
        <f t="shared" si="8"/>
        <v>OK</v>
      </c>
      <c r="L166" s="151" t="str">
        <f t="shared" si="9"/>
        <v>September</v>
      </c>
      <c r="M166" s="152">
        <f t="shared" si="10"/>
        <v>2019</v>
      </c>
    </row>
    <row r="167" spans="2:13" x14ac:dyDescent="0.25">
      <c r="B167" s="144" t="s">
        <v>755</v>
      </c>
      <c r="C167" s="134">
        <v>43717</v>
      </c>
      <c r="D167" s="120"/>
      <c r="E167" s="123">
        <v>391</v>
      </c>
      <c r="F167" s="133"/>
      <c r="G167" s="127"/>
      <c r="H167" s="106"/>
      <c r="I167" s="136"/>
      <c r="J167" s="140">
        <f t="shared" si="11"/>
        <v>5171947</v>
      </c>
      <c r="K167" s="149" t="str">
        <f t="shared" si="8"/>
        <v>OK</v>
      </c>
      <c r="L167" s="151" t="str">
        <f t="shared" si="9"/>
        <v>September</v>
      </c>
      <c r="M167" s="152">
        <f t="shared" si="10"/>
        <v>2019</v>
      </c>
    </row>
    <row r="168" spans="2:13" x14ac:dyDescent="0.25">
      <c r="B168" s="144" t="s">
        <v>756</v>
      </c>
      <c r="C168" s="134">
        <v>43718</v>
      </c>
      <c r="D168" s="120"/>
      <c r="E168" s="123">
        <v>392</v>
      </c>
      <c r="F168" s="133"/>
      <c r="G168" s="127"/>
      <c r="H168" s="106"/>
      <c r="I168" s="136"/>
      <c r="J168" s="140">
        <f t="shared" si="11"/>
        <v>5171947</v>
      </c>
      <c r="K168" s="149" t="str">
        <f t="shared" si="8"/>
        <v>OK</v>
      </c>
      <c r="L168" s="151" t="str">
        <f t="shared" si="9"/>
        <v>September</v>
      </c>
      <c r="M168" s="152">
        <f t="shared" si="10"/>
        <v>2019</v>
      </c>
    </row>
    <row r="169" spans="2:13" x14ac:dyDescent="0.25">
      <c r="B169" s="144" t="s">
        <v>757</v>
      </c>
      <c r="C169" s="134">
        <v>43719</v>
      </c>
      <c r="D169" s="120"/>
      <c r="E169" s="123">
        <v>393</v>
      </c>
      <c r="F169" s="133"/>
      <c r="G169" s="127"/>
      <c r="H169" s="106"/>
      <c r="I169" s="136"/>
      <c r="J169" s="140">
        <f t="shared" si="11"/>
        <v>5171947</v>
      </c>
      <c r="K169" s="149" t="str">
        <f t="shared" si="8"/>
        <v>OK</v>
      </c>
      <c r="L169" s="151" t="str">
        <f t="shared" si="9"/>
        <v>September</v>
      </c>
      <c r="M169" s="152">
        <f t="shared" si="10"/>
        <v>2019</v>
      </c>
    </row>
    <row r="170" spans="2:13" x14ac:dyDescent="0.25">
      <c r="B170" s="144" t="s">
        <v>758</v>
      </c>
      <c r="C170" s="134">
        <v>43720</v>
      </c>
      <c r="D170" s="120"/>
      <c r="E170" s="123">
        <v>394</v>
      </c>
      <c r="F170" s="133"/>
      <c r="G170" s="127"/>
      <c r="H170" s="106"/>
      <c r="I170" s="136"/>
      <c r="J170" s="140">
        <f t="shared" si="11"/>
        <v>5171947</v>
      </c>
      <c r="K170" s="149" t="str">
        <f t="shared" si="8"/>
        <v>OK</v>
      </c>
      <c r="L170" s="151" t="str">
        <f t="shared" si="9"/>
        <v>September</v>
      </c>
      <c r="M170" s="152">
        <f t="shared" si="10"/>
        <v>2019</v>
      </c>
    </row>
    <row r="171" spans="2:13" x14ac:dyDescent="0.25">
      <c r="B171" s="144" t="s">
        <v>759</v>
      </c>
      <c r="C171" s="134">
        <v>43721</v>
      </c>
      <c r="D171" s="120"/>
      <c r="E171" s="123">
        <v>395</v>
      </c>
      <c r="F171" s="133"/>
      <c r="G171" s="127"/>
      <c r="H171" s="106"/>
      <c r="I171" s="136"/>
      <c r="J171" s="140">
        <f t="shared" si="11"/>
        <v>5171947</v>
      </c>
      <c r="K171" s="149" t="str">
        <f t="shared" si="8"/>
        <v>OK</v>
      </c>
      <c r="L171" s="151" t="str">
        <f t="shared" si="9"/>
        <v>September</v>
      </c>
      <c r="M171" s="152">
        <f t="shared" si="10"/>
        <v>2019</v>
      </c>
    </row>
    <row r="172" spans="2:13" x14ac:dyDescent="0.25">
      <c r="B172" s="144" t="s">
        <v>760</v>
      </c>
      <c r="C172" s="134">
        <v>43722</v>
      </c>
      <c r="D172" s="120"/>
      <c r="E172" s="123">
        <v>396</v>
      </c>
      <c r="F172" s="133"/>
      <c r="G172" s="127"/>
      <c r="H172" s="106"/>
      <c r="I172" s="136"/>
      <c r="J172" s="140">
        <f t="shared" si="11"/>
        <v>5171947</v>
      </c>
      <c r="K172" s="149" t="str">
        <f t="shared" si="8"/>
        <v>OK</v>
      </c>
      <c r="L172" s="151" t="str">
        <f t="shared" si="9"/>
        <v>September</v>
      </c>
      <c r="M172" s="152">
        <f t="shared" si="10"/>
        <v>2019</v>
      </c>
    </row>
    <row r="173" spans="2:13" x14ac:dyDescent="0.25">
      <c r="B173" s="144" t="s">
        <v>761</v>
      </c>
      <c r="C173" s="134">
        <v>43723</v>
      </c>
      <c r="D173" s="120"/>
      <c r="E173" s="123">
        <v>397</v>
      </c>
      <c r="F173" s="133"/>
      <c r="G173" s="127"/>
      <c r="H173" s="106"/>
      <c r="I173" s="136"/>
      <c r="J173" s="140">
        <f t="shared" si="11"/>
        <v>5171947</v>
      </c>
      <c r="K173" s="149" t="str">
        <f t="shared" si="8"/>
        <v>OK</v>
      </c>
      <c r="L173" s="151" t="str">
        <f t="shared" si="9"/>
        <v>September</v>
      </c>
      <c r="M173" s="152">
        <f t="shared" si="10"/>
        <v>2019</v>
      </c>
    </row>
    <row r="174" spans="2:13" x14ac:dyDescent="0.25">
      <c r="B174" s="144" t="s">
        <v>762</v>
      </c>
      <c r="C174" s="134">
        <v>43724</v>
      </c>
      <c r="D174" s="120"/>
      <c r="E174" s="123">
        <v>398</v>
      </c>
      <c r="F174" s="133"/>
      <c r="G174" s="127"/>
      <c r="H174" s="106"/>
      <c r="I174" s="136"/>
      <c r="J174" s="140">
        <f t="shared" si="11"/>
        <v>5171947</v>
      </c>
      <c r="K174" s="149" t="str">
        <f t="shared" si="8"/>
        <v>OK</v>
      </c>
      <c r="L174" s="151" t="str">
        <f t="shared" si="9"/>
        <v>September</v>
      </c>
      <c r="M174" s="152">
        <f t="shared" si="10"/>
        <v>2019</v>
      </c>
    </row>
    <row r="175" spans="2:13" x14ac:dyDescent="0.25">
      <c r="B175" s="144" t="s">
        <v>763</v>
      </c>
      <c r="C175" s="134">
        <v>43725</v>
      </c>
      <c r="D175" s="120"/>
      <c r="E175" s="123">
        <v>399</v>
      </c>
      <c r="F175" s="133"/>
      <c r="G175" s="127"/>
      <c r="H175" s="106"/>
      <c r="I175" s="136"/>
      <c r="J175" s="140">
        <f t="shared" si="11"/>
        <v>5171947</v>
      </c>
      <c r="K175" s="149" t="str">
        <f t="shared" si="8"/>
        <v>OK</v>
      </c>
      <c r="L175" s="151" t="str">
        <f t="shared" si="9"/>
        <v>September</v>
      </c>
      <c r="M175" s="152">
        <f t="shared" si="10"/>
        <v>2019</v>
      </c>
    </row>
    <row r="176" spans="2:13" x14ac:dyDescent="0.25">
      <c r="B176" s="144" t="s">
        <v>764</v>
      </c>
      <c r="C176" s="134">
        <v>43726</v>
      </c>
      <c r="D176" s="120"/>
      <c r="E176" s="123">
        <v>400</v>
      </c>
      <c r="F176" s="133"/>
      <c r="G176" s="127"/>
      <c r="H176" s="106"/>
      <c r="I176" s="136"/>
      <c r="J176" s="140">
        <f t="shared" si="11"/>
        <v>5171947</v>
      </c>
      <c r="K176" s="149" t="str">
        <f t="shared" si="8"/>
        <v>OK</v>
      </c>
      <c r="L176" s="151" t="str">
        <f t="shared" si="9"/>
        <v>September</v>
      </c>
      <c r="M176" s="152">
        <f t="shared" si="10"/>
        <v>2019</v>
      </c>
    </row>
    <row r="177" spans="2:13" x14ac:dyDescent="0.25">
      <c r="B177" s="144" t="s">
        <v>765</v>
      </c>
      <c r="C177" s="134">
        <v>43727</v>
      </c>
      <c r="D177" s="120"/>
      <c r="E177" s="123">
        <v>401</v>
      </c>
      <c r="F177" s="133"/>
      <c r="G177" s="127"/>
      <c r="H177" s="106"/>
      <c r="I177" s="136"/>
      <c r="J177" s="140">
        <f t="shared" si="11"/>
        <v>5171947</v>
      </c>
      <c r="K177" s="149" t="str">
        <f t="shared" si="8"/>
        <v>OK</v>
      </c>
      <c r="L177" s="151" t="str">
        <f t="shared" si="9"/>
        <v>September</v>
      </c>
      <c r="M177" s="152">
        <f t="shared" si="10"/>
        <v>2019</v>
      </c>
    </row>
    <row r="178" spans="2:13" x14ac:dyDescent="0.25">
      <c r="B178" s="144" t="s">
        <v>766</v>
      </c>
      <c r="C178" s="134">
        <v>43728</v>
      </c>
      <c r="D178" s="120"/>
      <c r="E178" s="123">
        <v>402</v>
      </c>
      <c r="F178" s="133"/>
      <c r="G178" s="127"/>
      <c r="H178" s="106"/>
      <c r="I178" s="136"/>
      <c r="J178" s="140">
        <f t="shared" si="11"/>
        <v>5171947</v>
      </c>
      <c r="K178" s="149" t="str">
        <f t="shared" si="8"/>
        <v>OK</v>
      </c>
      <c r="L178" s="151" t="str">
        <f t="shared" si="9"/>
        <v>September</v>
      </c>
      <c r="M178" s="152">
        <f t="shared" si="10"/>
        <v>2019</v>
      </c>
    </row>
    <row r="179" spans="2:13" x14ac:dyDescent="0.25">
      <c r="B179" s="144" t="s">
        <v>767</v>
      </c>
      <c r="C179" s="134">
        <v>43729</v>
      </c>
      <c r="D179" s="120"/>
      <c r="E179" s="123">
        <v>403</v>
      </c>
      <c r="F179" s="133"/>
      <c r="G179" s="127"/>
      <c r="H179" s="106"/>
      <c r="I179" s="136"/>
      <c r="J179" s="140">
        <f t="shared" si="11"/>
        <v>5171947</v>
      </c>
      <c r="K179" s="149" t="str">
        <f t="shared" si="8"/>
        <v>OK</v>
      </c>
      <c r="L179" s="151" t="str">
        <f t="shared" si="9"/>
        <v>September</v>
      </c>
      <c r="M179" s="152">
        <f t="shared" si="10"/>
        <v>2019</v>
      </c>
    </row>
    <row r="180" spans="2:13" x14ac:dyDescent="0.25">
      <c r="B180" s="144" t="s">
        <v>768</v>
      </c>
      <c r="C180" s="134">
        <v>43730</v>
      </c>
      <c r="D180" s="120"/>
      <c r="E180" s="123">
        <v>404</v>
      </c>
      <c r="F180" s="133"/>
      <c r="G180" s="127"/>
      <c r="H180" s="106"/>
      <c r="I180" s="136"/>
      <c r="J180" s="140">
        <f t="shared" si="11"/>
        <v>5171947</v>
      </c>
      <c r="K180" s="149" t="str">
        <f t="shared" si="8"/>
        <v>OK</v>
      </c>
      <c r="L180" s="151" t="str">
        <f t="shared" si="9"/>
        <v>September</v>
      </c>
      <c r="M180" s="152">
        <f t="shared" si="10"/>
        <v>2019</v>
      </c>
    </row>
    <row r="181" spans="2:13" x14ac:dyDescent="0.25">
      <c r="B181" s="144" t="s">
        <v>769</v>
      </c>
      <c r="C181" s="134">
        <v>43731</v>
      </c>
      <c r="D181" s="120"/>
      <c r="E181" s="123">
        <v>405</v>
      </c>
      <c r="F181" s="133"/>
      <c r="G181" s="127"/>
      <c r="H181" s="106"/>
      <c r="I181" s="136"/>
      <c r="J181" s="140">
        <f t="shared" si="11"/>
        <v>5171947</v>
      </c>
      <c r="K181" s="149" t="str">
        <f t="shared" si="8"/>
        <v>OK</v>
      </c>
      <c r="L181" s="151" t="str">
        <f t="shared" si="9"/>
        <v>September</v>
      </c>
      <c r="M181" s="152">
        <f t="shared" si="10"/>
        <v>2019</v>
      </c>
    </row>
    <row r="182" spans="2:13" x14ac:dyDescent="0.25">
      <c r="B182" s="144" t="s">
        <v>770</v>
      </c>
      <c r="C182" s="134">
        <v>43732</v>
      </c>
      <c r="D182" s="120"/>
      <c r="E182" s="123">
        <v>406</v>
      </c>
      <c r="F182" s="133"/>
      <c r="G182" s="127"/>
      <c r="H182" s="106"/>
      <c r="I182" s="136"/>
      <c r="J182" s="140">
        <f t="shared" si="11"/>
        <v>5171947</v>
      </c>
      <c r="K182" s="149" t="str">
        <f t="shared" si="8"/>
        <v>OK</v>
      </c>
      <c r="L182" s="151" t="str">
        <f t="shared" si="9"/>
        <v>September</v>
      </c>
      <c r="M182" s="152">
        <f t="shared" si="10"/>
        <v>2019</v>
      </c>
    </row>
    <row r="183" spans="2:13" x14ac:dyDescent="0.25">
      <c r="B183" s="144" t="s">
        <v>771</v>
      </c>
      <c r="C183" s="134">
        <v>43733</v>
      </c>
      <c r="D183" s="120"/>
      <c r="E183" s="123">
        <v>407</v>
      </c>
      <c r="F183" s="133"/>
      <c r="G183" s="127"/>
      <c r="H183" s="106"/>
      <c r="I183" s="136"/>
      <c r="J183" s="140">
        <f t="shared" si="11"/>
        <v>5171947</v>
      </c>
      <c r="K183" s="149" t="str">
        <f t="shared" si="8"/>
        <v>OK</v>
      </c>
      <c r="L183" s="151" t="str">
        <f t="shared" si="9"/>
        <v>September</v>
      </c>
      <c r="M183" s="152">
        <f t="shared" si="10"/>
        <v>2019</v>
      </c>
    </row>
    <row r="184" spans="2:13" x14ac:dyDescent="0.25">
      <c r="B184" s="144" t="s">
        <v>772</v>
      </c>
      <c r="C184" s="134">
        <v>43734</v>
      </c>
      <c r="D184" s="120"/>
      <c r="E184" s="123">
        <v>408</v>
      </c>
      <c r="F184" s="133"/>
      <c r="G184" s="127"/>
      <c r="H184" s="106"/>
      <c r="I184" s="136"/>
      <c r="J184" s="140">
        <f t="shared" si="11"/>
        <v>5171947</v>
      </c>
      <c r="K184" s="149" t="str">
        <f t="shared" si="8"/>
        <v>OK</v>
      </c>
      <c r="L184" s="151" t="str">
        <f t="shared" si="9"/>
        <v>September</v>
      </c>
      <c r="M184" s="152">
        <f t="shared" si="10"/>
        <v>2019</v>
      </c>
    </row>
    <row r="185" spans="2:13" x14ac:dyDescent="0.25">
      <c r="B185" s="144" t="s">
        <v>773</v>
      </c>
      <c r="C185" s="134">
        <v>43735</v>
      </c>
      <c r="D185" s="120"/>
      <c r="E185" s="123">
        <v>409</v>
      </c>
      <c r="F185" s="133"/>
      <c r="G185" s="127"/>
      <c r="H185" s="106"/>
      <c r="I185" s="136"/>
      <c r="J185" s="140">
        <f t="shared" si="11"/>
        <v>5171947</v>
      </c>
      <c r="K185" s="149" t="str">
        <f t="shared" si="8"/>
        <v>OK</v>
      </c>
      <c r="L185" s="151" t="str">
        <f t="shared" si="9"/>
        <v>September</v>
      </c>
      <c r="M185" s="152">
        <f t="shared" si="10"/>
        <v>2019</v>
      </c>
    </row>
    <row r="186" spans="2:13" x14ac:dyDescent="0.25">
      <c r="B186" s="144" t="s">
        <v>774</v>
      </c>
      <c r="C186" s="134">
        <v>43736</v>
      </c>
      <c r="D186" s="120"/>
      <c r="E186" s="123">
        <v>410</v>
      </c>
      <c r="F186" s="133"/>
      <c r="G186" s="127"/>
      <c r="H186" s="106"/>
      <c r="I186" s="136"/>
      <c r="J186" s="140">
        <f t="shared" si="11"/>
        <v>5171947</v>
      </c>
      <c r="K186" s="149" t="str">
        <f t="shared" si="8"/>
        <v>OK</v>
      </c>
      <c r="L186" s="151" t="str">
        <f t="shared" si="9"/>
        <v>September</v>
      </c>
      <c r="M186" s="152">
        <f t="shared" si="10"/>
        <v>2019</v>
      </c>
    </row>
    <row r="187" spans="2:13" x14ac:dyDescent="0.25">
      <c r="B187" s="144" t="s">
        <v>775</v>
      </c>
      <c r="C187" s="134">
        <v>43737</v>
      </c>
      <c r="D187" s="120"/>
      <c r="E187" s="123">
        <v>411</v>
      </c>
      <c r="F187" s="133"/>
      <c r="G187" s="127"/>
      <c r="H187" s="106"/>
      <c r="I187" s="136"/>
      <c r="J187" s="140">
        <f t="shared" si="11"/>
        <v>5171947</v>
      </c>
      <c r="K187" s="149" t="str">
        <f t="shared" si="8"/>
        <v>OK</v>
      </c>
      <c r="L187" s="151" t="str">
        <f t="shared" si="9"/>
        <v>September</v>
      </c>
      <c r="M187" s="152">
        <f t="shared" si="10"/>
        <v>2019</v>
      </c>
    </row>
    <row r="188" spans="2:13" x14ac:dyDescent="0.25">
      <c r="B188" s="144" t="s">
        <v>776</v>
      </c>
      <c r="C188" s="134">
        <v>43738</v>
      </c>
      <c r="D188" s="120"/>
      <c r="E188" s="123">
        <v>412</v>
      </c>
      <c r="F188" s="133"/>
      <c r="G188" s="127"/>
      <c r="H188" s="106"/>
      <c r="I188" s="136"/>
      <c r="J188" s="140">
        <f t="shared" si="11"/>
        <v>5171947</v>
      </c>
      <c r="K188" s="149" t="str">
        <f t="shared" si="8"/>
        <v>OK</v>
      </c>
      <c r="L188" s="151" t="str">
        <f t="shared" si="9"/>
        <v>September</v>
      </c>
      <c r="M188" s="152">
        <f t="shared" si="10"/>
        <v>2019</v>
      </c>
    </row>
    <row r="189" spans="2:13" x14ac:dyDescent="0.25">
      <c r="B189" s="144" t="s">
        <v>777</v>
      </c>
      <c r="C189" s="134">
        <v>43739</v>
      </c>
      <c r="D189" s="120"/>
      <c r="E189" s="123">
        <v>413</v>
      </c>
      <c r="F189" s="133"/>
      <c r="G189" s="127"/>
      <c r="H189" s="106"/>
      <c r="I189" s="136"/>
      <c r="J189" s="140">
        <f t="shared" si="11"/>
        <v>5171947</v>
      </c>
      <c r="K189" s="149" t="str">
        <f t="shared" si="8"/>
        <v>OK</v>
      </c>
      <c r="L189" s="151" t="str">
        <f t="shared" si="9"/>
        <v>October</v>
      </c>
      <c r="M189" s="152">
        <f t="shared" si="10"/>
        <v>2019</v>
      </c>
    </row>
    <row r="190" spans="2:13" x14ac:dyDescent="0.25">
      <c r="B190" s="144" t="s">
        <v>778</v>
      </c>
      <c r="C190" s="134">
        <v>43740</v>
      </c>
      <c r="D190" s="120"/>
      <c r="E190" s="123">
        <v>414</v>
      </c>
      <c r="F190" s="133"/>
      <c r="G190" s="127"/>
      <c r="H190" s="106"/>
      <c r="I190" s="136"/>
      <c r="J190" s="140">
        <f t="shared" si="11"/>
        <v>5171947</v>
      </c>
      <c r="K190" s="149" t="str">
        <f t="shared" si="8"/>
        <v>OK</v>
      </c>
      <c r="L190" s="151" t="str">
        <f t="shared" si="9"/>
        <v>October</v>
      </c>
      <c r="M190" s="152">
        <f t="shared" si="10"/>
        <v>2019</v>
      </c>
    </row>
    <row r="191" spans="2:13" x14ac:dyDescent="0.25">
      <c r="B191" s="144" t="s">
        <v>779</v>
      </c>
      <c r="C191" s="134">
        <v>43741</v>
      </c>
      <c r="D191" s="120"/>
      <c r="E191" s="123">
        <v>415</v>
      </c>
      <c r="F191" s="133"/>
      <c r="G191" s="127"/>
      <c r="H191" s="106"/>
      <c r="I191" s="136"/>
      <c r="J191" s="140">
        <f t="shared" si="11"/>
        <v>5171947</v>
      </c>
      <c r="K191" s="149" t="str">
        <f t="shared" si="8"/>
        <v>OK</v>
      </c>
      <c r="L191" s="151" t="str">
        <f t="shared" si="9"/>
        <v>October</v>
      </c>
      <c r="M191" s="152">
        <f t="shared" si="10"/>
        <v>2019</v>
      </c>
    </row>
    <row r="192" spans="2:13" x14ac:dyDescent="0.25">
      <c r="B192" s="144" t="s">
        <v>780</v>
      </c>
      <c r="C192" s="134">
        <v>43742</v>
      </c>
      <c r="D192" s="120"/>
      <c r="E192" s="123">
        <v>416</v>
      </c>
      <c r="F192" s="133"/>
      <c r="G192" s="127"/>
      <c r="H192" s="106"/>
      <c r="I192" s="136"/>
      <c r="J192" s="140">
        <f t="shared" si="11"/>
        <v>5171947</v>
      </c>
      <c r="K192" s="149" t="str">
        <f t="shared" si="8"/>
        <v>OK</v>
      </c>
      <c r="L192" s="151" t="str">
        <f t="shared" si="9"/>
        <v>October</v>
      </c>
      <c r="M192" s="152">
        <f t="shared" si="10"/>
        <v>2019</v>
      </c>
    </row>
    <row r="193" spans="2:13" x14ac:dyDescent="0.25">
      <c r="B193" s="144" t="s">
        <v>781</v>
      </c>
      <c r="C193" s="134">
        <v>43743</v>
      </c>
      <c r="D193" s="120"/>
      <c r="E193" s="123">
        <v>417</v>
      </c>
      <c r="F193" s="133"/>
      <c r="G193" s="127"/>
      <c r="H193" s="106"/>
      <c r="I193" s="136"/>
      <c r="J193" s="140">
        <f t="shared" si="11"/>
        <v>5171947</v>
      </c>
      <c r="K193" s="149" t="str">
        <f t="shared" si="8"/>
        <v>OK</v>
      </c>
      <c r="L193" s="151" t="str">
        <f t="shared" si="9"/>
        <v>October</v>
      </c>
      <c r="M193" s="152">
        <f t="shared" si="10"/>
        <v>2019</v>
      </c>
    </row>
    <row r="194" spans="2:13" x14ac:dyDescent="0.25">
      <c r="B194" s="144" t="s">
        <v>782</v>
      </c>
      <c r="C194" s="134">
        <v>43744</v>
      </c>
      <c r="D194" s="120"/>
      <c r="E194" s="123">
        <v>418</v>
      </c>
      <c r="F194" s="133"/>
      <c r="G194" s="127"/>
      <c r="H194" s="106"/>
      <c r="I194" s="136"/>
      <c r="J194" s="140">
        <f t="shared" si="11"/>
        <v>5171947</v>
      </c>
      <c r="K194" s="149" t="str">
        <f t="shared" si="8"/>
        <v>OK</v>
      </c>
      <c r="L194" s="151" t="str">
        <f t="shared" si="9"/>
        <v>October</v>
      </c>
      <c r="M194" s="152">
        <f t="shared" si="10"/>
        <v>2019</v>
      </c>
    </row>
    <row r="195" spans="2:13" x14ac:dyDescent="0.25">
      <c r="B195" s="144" t="s">
        <v>783</v>
      </c>
      <c r="C195" s="134">
        <v>43745</v>
      </c>
      <c r="D195" s="120"/>
      <c r="E195" s="123">
        <v>419</v>
      </c>
      <c r="F195" s="133"/>
      <c r="G195" s="127"/>
      <c r="H195" s="106"/>
      <c r="I195" s="136"/>
      <c r="J195" s="140">
        <f t="shared" si="11"/>
        <v>5171947</v>
      </c>
      <c r="K195" s="149" t="str">
        <f t="shared" si="8"/>
        <v>OK</v>
      </c>
      <c r="L195" s="151" t="str">
        <f t="shared" si="9"/>
        <v>October</v>
      </c>
      <c r="M195" s="152">
        <f t="shared" si="10"/>
        <v>2019</v>
      </c>
    </row>
    <row r="196" spans="2:13" x14ac:dyDescent="0.25">
      <c r="B196" s="144" t="s">
        <v>784</v>
      </c>
      <c r="C196" s="134">
        <v>43746</v>
      </c>
      <c r="D196" s="120"/>
      <c r="E196" s="123">
        <v>420</v>
      </c>
      <c r="F196" s="133"/>
      <c r="G196" s="127"/>
      <c r="H196" s="106"/>
      <c r="I196" s="136"/>
      <c r="J196" s="140">
        <f t="shared" si="11"/>
        <v>5171947</v>
      </c>
      <c r="K196" s="149" t="str">
        <f t="shared" si="8"/>
        <v>OK</v>
      </c>
      <c r="L196" s="151" t="str">
        <f t="shared" si="9"/>
        <v>October</v>
      </c>
      <c r="M196" s="152">
        <f t="shared" si="10"/>
        <v>2019</v>
      </c>
    </row>
    <row r="197" spans="2:13" x14ac:dyDescent="0.25">
      <c r="B197" s="144" t="s">
        <v>785</v>
      </c>
      <c r="C197" s="134">
        <v>43747</v>
      </c>
      <c r="D197" s="120"/>
      <c r="E197" s="123">
        <v>421</v>
      </c>
      <c r="F197" s="133"/>
      <c r="G197" s="127"/>
      <c r="H197" s="106"/>
      <c r="I197" s="136"/>
      <c r="J197" s="140">
        <f t="shared" si="11"/>
        <v>5171947</v>
      </c>
      <c r="K197" s="149" t="str">
        <f t="shared" si="8"/>
        <v>OK</v>
      </c>
      <c r="L197" s="151" t="str">
        <f t="shared" si="9"/>
        <v>October</v>
      </c>
      <c r="M197" s="152">
        <f t="shared" si="10"/>
        <v>2019</v>
      </c>
    </row>
    <row r="198" spans="2:13" x14ac:dyDescent="0.25">
      <c r="B198" s="144" t="s">
        <v>786</v>
      </c>
      <c r="C198" s="134">
        <v>43748</v>
      </c>
      <c r="D198" s="120"/>
      <c r="E198" s="123">
        <v>422</v>
      </c>
      <c r="F198" s="133"/>
      <c r="G198" s="127"/>
      <c r="H198" s="106"/>
      <c r="I198" s="136"/>
      <c r="J198" s="140">
        <f t="shared" si="11"/>
        <v>5171947</v>
      </c>
      <c r="K198" s="149" t="str">
        <f t="shared" si="8"/>
        <v>OK</v>
      </c>
      <c r="L198" s="151" t="str">
        <f t="shared" si="9"/>
        <v>October</v>
      </c>
      <c r="M198" s="152">
        <f t="shared" si="10"/>
        <v>2019</v>
      </c>
    </row>
    <row r="199" spans="2:13" x14ac:dyDescent="0.25">
      <c r="B199" s="144" t="s">
        <v>787</v>
      </c>
      <c r="C199" s="134">
        <v>43749</v>
      </c>
      <c r="D199" s="120"/>
      <c r="E199" s="123">
        <v>423</v>
      </c>
      <c r="F199" s="133"/>
      <c r="G199" s="127"/>
      <c r="H199" s="106"/>
      <c r="I199" s="136"/>
      <c r="J199" s="140">
        <f t="shared" si="11"/>
        <v>5171947</v>
      </c>
      <c r="K199" s="149" t="str">
        <f t="shared" si="8"/>
        <v>OK</v>
      </c>
      <c r="L199" s="151" t="str">
        <f t="shared" si="9"/>
        <v>October</v>
      </c>
      <c r="M199" s="152">
        <f t="shared" si="10"/>
        <v>2019</v>
      </c>
    </row>
    <row r="200" spans="2:13" x14ac:dyDescent="0.25">
      <c r="B200" s="144" t="s">
        <v>788</v>
      </c>
      <c r="C200" s="134">
        <v>43750</v>
      </c>
      <c r="D200" s="120"/>
      <c r="E200" s="123">
        <v>424</v>
      </c>
      <c r="F200" s="133"/>
      <c r="G200" s="127"/>
      <c r="H200" s="106"/>
      <c r="I200" s="136"/>
      <c r="J200" s="140">
        <f t="shared" si="11"/>
        <v>5171947</v>
      </c>
      <c r="K200" s="149" t="str">
        <f t="shared" si="8"/>
        <v>OK</v>
      </c>
      <c r="L200" s="151" t="str">
        <f t="shared" si="9"/>
        <v>October</v>
      </c>
      <c r="M200" s="152">
        <f t="shared" si="10"/>
        <v>2019</v>
      </c>
    </row>
    <row r="201" spans="2:13" x14ac:dyDescent="0.25">
      <c r="B201" s="144" t="s">
        <v>789</v>
      </c>
      <c r="C201" s="134">
        <v>43751</v>
      </c>
      <c r="D201" s="120"/>
      <c r="E201" s="123">
        <v>425</v>
      </c>
      <c r="F201" s="133"/>
      <c r="G201" s="127"/>
      <c r="H201" s="106"/>
      <c r="I201" s="136"/>
      <c r="J201" s="140">
        <f t="shared" si="11"/>
        <v>5171947</v>
      </c>
      <c r="K201" s="149" t="str">
        <f t="shared" si="8"/>
        <v>OK</v>
      </c>
      <c r="L201" s="151" t="str">
        <f t="shared" si="9"/>
        <v>October</v>
      </c>
      <c r="M201" s="152">
        <f t="shared" si="10"/>
        <v>2019</v>
      </c>
    </row>
    <row r="202" spans="2:13" x14ac:dyDescent="0.25">
      <c r="B202" s="144" t="s">
        <v>790</v>
      </c>
      <c r="C202" s="134">
        <v>43752</v>
      </c>
      <c r="D202" s="120"/>
      <c r="E202" s="123">
        <v>426</v>
      </c>
      <c r="F202" s="133"/>
      <c r="G202" s="127"/>
      <c r="H202" s="106"/>
      <c r="I202" s="136"/>
      <c r="J202" s="140">
        <f t="shared" si="11"/>
        <v>5171947</v>
      </c>
      <c r="K202" s="149" t="str">
        <f t="shared" si="8"/>
        <v>OK</v>
      </c>
      <c r="L202" s="151" t="str">
        <f t="shared" si="9"/>
        <v>October</v>
      </c>
      <c r="M202" s="152">
        <f t="shared" si="10"/>
        <v>2019</v>
      </c>
    </row>
    <row r="203" spans="2:13" x14ac:dyDescent="0.25">
      <c r="B203" s="144" t="s">
        <v>791</v>
      </c>
      <c r="C203" s="134">
        <v>43753</v>
      </c>
      <c r="D203" s="120"/>
      <c r="E203" s="123">
        <v>427</v>
      </c>
      <c r="F203" s="133"/>
      <c r="G203" s="127"/>
      <c r="H203" s="106"/>
      <c r="I203" s="136"/>
      <c r="J203" s="140">
        <f t="shared" si="11"/>
        <v>5171947</v>
      </c>
      <c r="K203" s="149" t="str">
        <f t="shared" ref="K203:K266" si="12">IF(AND(F203&lt;&gt;"",G203&lt;&gt;""),"ERROR","OK")</f>
        <v>OK</v>
      </c>
      <c r="L203" s="151" t="str">
        <f t="shared" ref="L203:L266" si="13">TEXT(C203,"mmmm")</f>
        <v>October</v>
      </c>
      <c r="M203" s="152">
        <f t="shared" ref="M203:M266" si="14">YEAR(C203)</f>
        <v>2019</v>
      </c>
    </row>
    <row r="204" spans="2:13" x14ac:dyDescent="0.25">
      <c r="B204" s="144" t="s">
        <v>792</v>
      </c>
      <c r="C204" s="134">
        <v>43754</v>
      </c>
      <c r="D204" s="120"/>
      <c r="E204" s="123">
        <v>428</v>
      </c>
      <c r="F204" s="133"/>
      <c r="G204" s="127"/>
      <c r="H204" s="106"/>
      <c r="I204" s="136"/>
      <c r="J204" s="140">
        <f t="shared" ref="J204:J267" si="15">($J203+$F204)-$G204</f>
        <v>5171947</v>
      </c>
      <c r="K204" s="149" t="str">
        <f t="shared" si="12"/>
        <v>OK</v>
      </c>
      <c r="L204" s="151" t="str">
        <f t="shared" si="13"/>
        <v>October</v>
      </c>
      <c r="M204" s="152">
        <f t="shared" si="14"/>
        <v>2019</v>
      </c>
    </row>
    <row r="205" spans="2:13" x14ac:dyDescent="0.25">
      <c r="B205" s="144" t="s">
        <v>793</v>
      </c>
      <c r="C205" s="134">
        <v>43755</v>
      </c>
      <c r="D205" s="120"/>
      <c r="E205" s="123">
        <v>429</v>
      </c>
      <c r="F205" s="133"/>
      <c r="G205" s="127"/>
      <c r="H205" s="106"/>
      <c r="I205" s="136"/>
      <c r="J205" s="140">
        <f t="shared" si="15"/>
        <v>5171947</v>
      </c>
      <c r="K205" s="149" t="str">
        <f t="shared" si="12"/>
        <v>OK</v>
      </c>
      <c r="L205" s="151" t="str">
        <f t="shared" si="13"/>
        <v>October</v>
      </c>
      <c r="M205" s="152">
        <f t="shared" si="14"/>
        <v>2019</v>
      </c>
    </row>
    <row r="206" spans="2:13" x14ac:dyDescent="0.25">
      <c r="B206" s="144" t="s">
        <v>794</v>
      </c>
      <c r="C206" s="134">
        <v>43756</v>
      </c>
      <c r="D206" s="120"/>
      <c r="E206" s="123">
        <v>430</v>
      </c>
      <c r="F206" s="133"/>
      <c r="G206" s="127"/>
      <c r="H206" s="106"/>
      <c r="I206" s="136"/>
      <c r="J206" s="140">
        <f t="shared" si="15"/>
        <v>5171947</v>
      </c>
      <c r="K206" s="149" t="str">
        <f t="shared" si="12"/>
        <v>OK</v>
      </c>
      <c r="L206" s="151" t="str">
        <f t="shared" si="13"/>
        <v>October</v>
      </c>
      <c r="M206" s="152">
        <f t="shared" si="14"/>
        <v>2019</v>
      </c>
    </row>
    <row r="207" spans="2:13" x14ac:dyDescent="0.25">
      <c r="B207" s="144" t="s">
        <v>795</v>
      </c>
      <c r="C207" s="134">
        <v>43757</v>
      </c>
      <c r="D207" s="120"/>
      <c r="E207" s="123">
        <v>431</v>
      </c>
      <c r="F207" s="133"/>
      <c r="G207" s="127"/>
      <c r="H207" s="106"/>
      <c r="I207" s="136"/>
      <c r="J207" s="140">
        <f t="shared" si="15"/>
        <v>5171947</v>
      </c>
      <c r="K207" s="149" t="str">
        <f t="shared" si="12"/>
        <v>OK</v>
      </c>
      <c r="L207" s="151" t="str">
        <f t="shared" si="13"/>
        <v>October</v>
      </c>
      <c r="M207" s="152">
        <f t="shared" si="14"/>
        <v>2019</v>
      </c>
    </row>
    <row r="208" spans="2:13" x14ac:dyDescent="0.25">
      <c r="B208" s="144" t="s">
        <v>796</v>
      </c>
      <c r="C208" s="134">
        <v>43758</v>
      </c>
      <c r="D208" s="120"/>
      <c r="E208" s="123">
        <v>432</v>
      </c>
      <c r="F208" s="133"/>
      <c r="G208" s="127"/>
      <c r="H208" s="106"/>
      <c r="I208" s="136"/>
      <c r="J208" s="140">
        <f t="shared" si="15"/>
        <v>5171947</v>
      </c>
      <c r="K208" s="149" t="str">
        <f t="shared" si="12"/>
        <v>OK</v>
      </c>
      <c r="L208" s="151" t="str">
        <f t="shared" si="13"/>
        <v>October</v>
      </c>
      <c r="M208" s="152">
        <f t="shared" si="14"/>
        <v>2019</v>
      </c>
    </row>
    <row r="209" spans="2:13" x14ac:dyDescent="0.25">
      <c r="B209" s="144" t="s">
        <v>797</v>
      </c>
      <c r="C209" s="134">
        <v>43759</v>
      </c>
      <c r="D209" s="120"/>
      <c r="E209" s="123">
        <v>433</v>
      </c>
      <c r="F209" s="133"/>
      <c r="G209" s="127"/>
      <c r="H209" s="106"/>
      <c r="I209" s="136"/>
      <c r="J209" s="140">
        <f t="shared" si="15"/>
        <v>5171947</v>
      </c>
      <c r="K209" s="149" t="str">
        <f t="shared" si="12"/>
        <v>OK</v>
      </c>
      <c r="L209" s="151" t="str">
        <f t="shared" si="13"/>
        <v>October</v>
      </c>
      <c r="M209" s="152">
        <f t="shared" si="14"/>
        <v>2019</v>
      </c>
    </row>
    <row r="210" spans="2:13" x14ac:dyDescent="0.25">
      <c r="B210" s="144" t="s">
        <v>798</v>
      </c>
      <c r="C210" s="134">
        <v>43760</v>
      </c>
      <c r="D210" s="120"/>
      <c r="E210" s="123">
        <v>434</v>
      </c>
      <c r="F210" s="133"/>
      <c r="G210" s="127"/>
      <c r="H210" s="106"/>
      <c r="I210" s="136"/>
      <c r="J210" s="140">
        <f t="shared" si="15"/>
        <v>5171947</v>
      </c>
      <c r="K210" s="149" t="str">
        <f t="shared" si="12"/>
        <v>OK</v>
      </c>
      <c r="L210" s="151" t="str">
        <f t="shared" si="13"/>
        <v>October</v>
      </c>
      <c r="M210" s="152">
        <f t="shared" si="14"/>
        <v>2019</v>
      </c>
    </row>
    <row r="211" spans="2:13" x14ac:dyDescent="0.25">
      <c r="B211" s="144" t="s">
        <v>799</v>
      </c>
      <c r="C211" s="134">
        <v>43761</v>
      </c>
      <c r="D211" s="120"/>
      <c r="E211" s="123">
        <v>435</v>
      </c>
      <c r="F211" s="133"/>
      <c r="G211" s="127"/>
      <c r="H211" s="106"/>
      <c r="I211" s="136"/>
      <c r="J211" s="140">
        <f t="shared" si="15"/>
        <v>5171947</v>
      </c>
      <c r="K211" s="149" t="str">
        <f t="shared" si="12"/>
        <v>OK</v>
      </c>
      <c r="L211" s="151" t="str">
        <f t="shared" si="13"/>
        <v>October</v>
      </c>
      <c r="M211" s="152">
        <f t="shared" si="14"/>
        <v>2019</v>
      </c>
    </row>
    <row r="212" spans="2:13" x14ac:dyDescent="0.25">
      <c r="B212" s="144" t="s">
        <v>800</v>
      </c>
      <c r="C212" s="134">
        <v>43762</v>
      </c>
      <c r="D212" s="120"/>
      <c r="E212" s="123">
        <v>436</v>
      </c>
      <c r="F212" s="133"/>
      <c r="G212" s="127"/>
      <c r="H212" s="106"/>
      <c r="I212" s="136"/>
      <c r="J212" s="140">
        <f t="shared" si="15"/>
        <v>5171947</v>
      </c>
      <c r="K212" s="149" t="str">
        <f t="shared" si="12"/>
        <v>OK</v>
      </c>
      <c r="L212" s="151" t="str">
        <f t="shared" si="13"/>
        <v>October</v>
      </c>
      <c r="M212" s="152">
        <f t="shared" si="14"/>
        <v>2019</v>
      </c>
    </row>
    <row r="213" spans="2:13" x14ac:dyDescent="0.25">
      <c r="B213" s="144" t="s">
        <v>801</v>
      </c>
      <c r="C213" s="134">
        <v>43763</v>
      </c>
      <c r="D213" s="120"/>
      <c r="E213" s="123">
        <v>437</v>
      </c>
      <c r="F213" s="133"/>
      <c r="G213" s="127"/>
      <c r="H213" s="106"/>
      <c r="I213" s="136"/>
      <c r="J213" s="140">
        <f t="shared" si="15"/>
        <v>5171947</v>
      </c>
      <c r="K213" s="149" t="str">
        <f t="shared" si="12"/>
        <v>OK</v>
      </c>
      <c r="L213" s="151" t="str">
        <f t="shared" si="13"/>
        <v>October</v>
      </c>
      <c r="M213" s="152">
        <f t="shared" si="14"/>
        <v>2019</v>
      </c>
    </row>
    <row r="214" spans="2:13" x14ac:dyDescent="0.25">
      <c r="B214" s="144" t="s">
        <v>802</v>
      </c>
      <c r="C214" s="134">
        <v>43764</v>
      </c>
      <c r="D214" s="120"/>
      <c r="E214" s="123">
        <v>438</v>
      </c>
      <c r="F214" s="133"/>
      <c r="G214" s="127"/>
      <c r="H214" s="106"/>
      <c r="I214" s="136"/>
      <c r="J214" s="140">
        <f t="shared" si="15"/>
        <v>5171947</v>
      </c>
      <c r="K214" s="149" t="str">
        <f t="shared" si="12"/>
        <v>OK</v>
      </c>
      <c r="L214" s="151" t="str">
        <f t="shared" si="13"/>
        <v>October</v>
      </c>
      <c r="M214" s="152">
        <f t="shared" si="14"/>
        <v>2019</v>
      </c>
    </row>
    <row r="215" spans="2:13" x14ac:dyDescent="0.25">
      <c r="B215" s="144" t="s">
        <v>803</v>
      </c>
      <c r="C215" s="134">
        <v>43765</v>
      </c>
      <c r="D215" s="120"/>
      <c r="E215" s="123">
        <v>439</v>
      </c>
      <c r="F215" s="133"/>
      <c r="G215" s="127"/>
      <c r="H215" s="106"/>
      <c r="I215" s="136"/>
      <c r="J215" s="140">
        <f t="shared" si="15"/>
        <v>5171947</v>
      </c>
      <c r="K215" s="149" t="str">
        <f t="shared" si="12"/>
        <v>OK</v>
      </c>
      <c r="L215" s="151" t="str">
        <f t="shared" si="13"/>
        <v>October</v>
      </c>
      <c r="M215" s="152">
        <f t="shared" si="14"/>
        <v>2019</v>
      </c>
    </row>
    <row r="216" spans="2:13" x14ac:dyDescent="0.25">
      <c r="B216" s="144" t="s">
        <v>804</v>
      </c>
      <c r="C216" s="134">
        <v>43766</v>
      </c>
      <c r="D216" s="120"/>
      <c r="E216" s="123">
        <v>440</v>
      </c>
      <c r="F216" s="133"/>
      <c r="G216" s="127"/>
      <c r="H216" s="106"/>
      <c r="I216" s="136"/>
      <c r="J216" s="140">
        <f t="shared" si="15"/>
        <v>5171947</v>
      </c>
      <c r="K216" s="149" t="str">
        <f t="shared" si="12"/>
        <v>OK</v>
      </c>
      <c r="L216" s="151" t="str">
        <f t="shared" si="13"/>
        <v>October</v>
      </c>
      <c r="M216" s="152">
        <f t="shared" si="14"/>
        <v>2019</v>
      </c>
    </row>
    <row r="217" spans="2:13" x14ac:dyDescent="0.25">
      <c r="B217" s="144" t="s">
        <v>805</v>
      </c>
      <c r="C217" s="134">
        <v>43767</v>
      </c>
      <c r="D217" s="120"/>
      <c r="E217" s="123">
        <v>441</v>
      </c>
      <c r="F217" s="133"/>
      <c r="G217" s="127"/>
      <c r="H217" s="106"/>
      <c r="I217" s="136"/>
      <c r="J217" s="140">
        <f t="shared" si="15"/>
        <v>5171947</v>
      </c>
      <c r="K217" s="149" t="str">
        <f t="shared" si="12"/>
        <v>OK</v>
      </c>
      <c r="L217" s="151" t="str">
        <f t="shared" si="13"/>
        <v>October</v>
      </c>
      <c r="M217" s="152">
        <f t="shared" si="14"/>
        <v>2019</v>
      </c>
    </row>
    <row r="218" spans="2:13" x14ac:dyDescent="0.25">
      <c r="B218" s="144" t="s">
        <v>806</v>
      </c>
      <c r="C218" s="134">
        <v>43768</v>
      </c>
      <c r="D218" s="120"/>
      <c r="E218" s="123">
        <v>442</v>
      </c>
      <c r="F218" s="133"/>
      <c r="G218" s="127"/>
      <c r="H218" s="106"/>
      <c r="I218" s="136"/>
      <c r="J218" s="140">
        <f t="shared" si="15"/>
        <v>5171947</v>
      </c>
      <c r="K218" s="149" t="str">
        <f t="shared" si="12"/>
        <v>OK</v>
      </c>
      <c r="L218" s="151" t="str">
        <f t="shared" si="13"/>
        <v>October</v>
      </c>
      <c r="M218" s="152">
        <f t="shared" si="14"/>
        <v>2019</v>
      </c>
    </row>
    <row r="219" spans="2:13" x14ac:dyDescent="0.25">
      <c r="B219" s="144" t="s">
        <v>807</v>
      </c>
      <c r="C219" s="134">
        <v>43769</v>
      </c>
      <c r="D219" s="120"/>
      <c r="E219" s="123">
        <v>443</v>
      </c>
      <c r="F219" s="133"/>
      <c r="G219" s="127"/>
      <c r="H219" s="106"/>
      <c r="I219" s="136"/>
      <c r="J219" s="140">
        <f t="shared" si="15"/>
        <v>5171947</v>
      </c>
      <c r="K219" s="149" t="str">
        <f t="shared" si="12"/>
        <v>OK</v>
      </c>
      <c r="L219" s="151" t="str">
        <f t="shared" si="13"/>
        <v>October</v>
      </c>
      <c r="M219" s="152">
        <f t="shared" si="14"/>
        <v>2019</v>
      </c>
    </row>
    <row r="220" spans="2:13" x14ac:dyDescent="0.25">
      <c r="B220" s="144" t="s">
        <v>808</v>
      </c>
      <c r="C220" s="134">
        <v>43770</v>
      </c>
      <c r="D220" s="120"/>
      <c r="E220" s="123">
        <v>444</v>
      </c>
      <c r="F220" s="133"/>
      <c r="G220" s="127"/>
      <c r="H220" s="106"/>
      <c r="I220" s="136"/>
      <c r="J220" s="140">
        <f t="shared" si="15"/>
        <v>5171947</v>
      </c>
      <c r="K220" s="149" t="str">
        <f t="shared" si="12"/>
        <v>OK</v>
      </c>
      <c r="L220" s="151" t="str">
        <f t="shared" si="13"/>
        <v>November</v>
      </c>
      <c r="M220" s="152">
        <f t="shared" si="14"/>
        <v>2019</v>
      </c>
    </row>
    <row r="221" spans="2:13" x14ac:dyDescent="0.25">
      <c r="B221" s="144" t="s">
        <v>809</v>
      </c>
      <c r="C221" s="134">
        <v>43771</v>
      </c>
      <c r="D221" s="120"/>
      <c r="E221" s="123">
        <v>445</v>
      </c>
      <c r="F221" s="133"/>
      <c r="G221" s="127"/>
      <c r="H221" s="106"/>
      <c r="I221" s="136"/>
      <c r="J221" s="140">
        <f t="shared" si="15"/>
        <v>5171947</v>
      </c>
      <c r="K221" s="149" t="str">
        <f t="shared" si="12"/>
        <v>OK</v>
      </c>
      <c r="L221" s="151" t="str">
        <f t="shared" si="13"/>
        <v>November</v>
      </c>
      <c r="M221" s="152">
        <f t="shared" si="14"/>
        <v>2019</v>
      </c>
    </row>
    <row r="222" spans="2:13" x14ac:dyDescent="0.25">
      <c r="B222" s="144" t="s">
        <v>810</v>
      </c>
      <c r="C222" s="134">
        <v>43772</v>
      </c>
      <c r="D222" s="120"/>
      <c r="E222" s="123">
        <v>446</v>
      </c>
      <c r="F222" s="133"/>
      <c r="G222" s="127"/>
      <c r="H222" s="106"/>
      <c r="I222" s="136"/>
      <c r="J222" s="140">
        <f t="shared" si="15"/>
        <v>5171947</v>
      </c>
      <c r="K222" s="149" t="str">
        <f t="shared" si="12"/>
        <v>OK</v>
      </c>
      <c r="L222" s="151" t="str">
        <f t="shared" si="13"/>
        <v>November</v>
      </c>
      <c r="M222" s="152">
        <f t="shared" si="14"/>
        <v>2019</v>
      </c>
    </row>
    <row r="223" spans="2:13" x14ac:dyDescent="0.25">
      <c r="B223" s="144" t="s">
        <v>811</v>
      </c>
      <c r="C223" s="134">
        <v>43773</v>
      </c>
      <c r="D223" s="120"/>
      <c r="E223" s="123">
        <v>447</v>
      </c>
      <c r="F223" s="133"/>
      <c r="G223" s="127"/>
      <c r="H223" s="106"/>
      <c r="I223" s="136"/>
      <c r="J223" s="140">
        <f t="shared" si="15"/>
        <v>5171947</v>
      </c>
      <c r="K223" s="149" t="str">
        <f t="shared" si="12"/>
        <v>OK</v>
      </c>
      <c r="L223" s="151" t="str">
        <f t="shared" si="13"/>
        <v>November</v>
      </c>
      <c r="M223" s="152">
        <f t="shared" si="14"/>
        <v>2019</v>
      </c>
    </row>
    <row r="224" spans="2:13" x14ac:dyDescent="0.25">
      <c r="B224" s="144" t="s">
        <v>812</v>
      </c>
      <c r="C224" s="134">
        <v>43774</v>
      </c>
      <c r="D224" s="120"/>
      <c r="E224" s="123">
        <v>448</v>
      </c>
      <c r="F224" s="133"/>
      <c r="G224" s="127"/>
      <c r="H224" s="106"/>
      <c r="I224" s="136"/>
      <c r="J224" s="140">
        <f t="shared" si="15"/>
        <v>5171947</v>
      </c>
      <c r="K224" s="149" t="str">
        <f t="shared" si="12"/>
        <v>OK</v>
      </c>
      <c r="L224" s="151" t="str">
        <f t="shared" si="13"/>
        <v>November</v>
      </c>
      <c r="M224" s="152">
        <f t="shared" si="14"/>
        <v>2019</v>
      </c>
    </row>
    <row r="225" spans="2:13" x14ac:dyDescent="0.25">
      <c r="B225" s="144" t="s">
        <v>813</v>
      </c>
      <c r="C225" s="134">
        <v>43775</v>
      </c>
      <c r="D225" s="120"/>
      <c r="E225" s="123">
        <v>449</v>
      </c>
      <c r="F225" s="133"/>
      <c r="G225" s="127"/>
      <c r="H225" s="106"/>
      <c r="I225" s="136"/>
      <c r="J225" s="140">
        <f t="shared" si="15"/>
        <v>5171947</v>
      </c>
      <c r="K225" s="149" t="str">
        <f t="shared" si="12"/>
        <v>OK</v>
      </c>
      <c r="L225" s="151" t="str">
        <f t="shared" si="13"/>
        <v>November</v>
      </c>
      <c r="M225" s="152">
        <f t="shared" si="14"/>
        <v>2019</v>
      </c>
    </row>
    <row r="226" spans="2:13" x14ac:dyDescent="0.25">
      <c r="B226" s="144" t="s">
        <v>814</v>
      </c>
      <c r="C226" s="134">
        <v>43776</v>
      </c>
      <c r="D226" s="120"/>
      <c r="E226" s="123">
        <v>450</v>
      </c>
      <c r="F226" s="133"/>
      <c r="G226" s="127"/>
      <c r="H226" s="106"/>
      <c r="I226" s="136"/>
      <c r="J226" s="140">
        <f t="shared" si="15"/>
        <v>5171947</v>
      </c>
      <c r="K226" s="149" t="str">
        <f t="shared" si="12"/>
        <v>OK</v>
      </c>
      <c r="L226" s="151" t="str">
        <f t="shared" si="13"/>
        <v>November</v>
      </c>
      <c r="M226" s="152">
        <f t="shared" si="14"/>
        <v>2019</v>
      </c>
    </row>
    <row r="227" spans="2:13" x14ac:dyDescent="0.25">
      <c r="B227" s="144" t="s">
        <v>815</v>
      </c>
      <c r="C227" s="134">
        <v>43777</v>
      </c>
      <c r="D227" s="120"/>
      <c r="E227" s="123">
        <v>451</v>
      </c>
      <c r="F227" s="133"/>
      <c r="G227" s="127"/>
      <c r="H227" s="106"/>
      <c r="I227" s="136"/>
      <c r="J227" s="140">
        <f t="shared" si="15"/>
        <v>5171947</v>
      </c>
      <c r="K227" s="149" t="str">
        <f t="shared" si="12"/>
        <v>OK</v>
      </c>
      <c r="L227" s="151" t="str">
        <f t="shared" si="13"/>
        <v>November</v>
      </c>
      <c r="M227" s="152">
        <f t="shared" si="14"/>
        <v>2019</v>
      </c>
    </row>
    <row r="228" spans="2:13" x14ac:dyDescent="0.25">
      <c r="B228" s="144" t="s">
        <v>816</v>
      </c>
      <c r="C228" s="134">
        <v>43778</v>
      </c>
      <c r="D228" s="120"/>
      <c r="E228" s="123">
        <v>452</v>
      </c>
      <c r="F228" s="133"/>
      <c r="G228" s="127"/>
      <c r="H228" s="106"/>
      <c r="I228" s="136"/>
      <c r="J228" s="140">
        <f t="shared" si="15"/>
        <v>5171947</v>
      </c>
      <c r="K228" s="149" t="str">
        <f t="shared" si="12"/>
        <v>OK</v>
      </c>
      <c r="L228" s="151" t="str">
        <f t="shared" si="13"/>
        <v>November</v>
      </c>
      <c r="M228" s="152">
        <f t="shared" si="14"/>
        <v>2019</v>
      </c>
    </row>
    <row r="229" spans="2:13" x14ac:dyDescent="0.25">
      <c r="B229" s="144" t="s">
        <v>817</v>
      </c>
      <c r="C229" s="134">
        <v>43779</v>
      </c>
      <c r="D229" s="120"/>
      <c r="E229" s="123">
        <v>453</v>
      </c>
      <c r="F229" s="133"/>
      <c r="G229" s="127"/>
      <c r="H229" s="106"/>
      <c r="I229" s="136"/>
      <c r="J229" s="140">
        <f t="shared" si="15"/>
        <v>5171947</v>
      </c>
      <c r="K229" s="149" t="str">
        <f t="shared" si="12"/>
        <v>OK</v>
      </c>
      <c r="L229" s="151" t="str">
        <f t="shared" si="13"/>
        <v>November</v>
      </c>
      <c r="M229" s="152">
        <f t="shared" si="14"/>
        <v>2019</v>
      </c>
    </row>
    <row r="230" spans="2:13" x14ac:dyDescent="0.25">
      <c r="B230" s="144" t="s">
        <v>818</v>
      </c>
      <c r="C230" s="134">
        <v>43780</v>
      </c>
      <c r="D230" s="120"/>
      <c r="E230" s="123">
        <v>454</v>
      </c>
      <c r="F230" s="133"/>
      <c r="G230" s="127"/>
      <c r="H230" s="106"/>
      <c r="I230" s="136"/>
      <c r="J230" s="140">
        <f t="shared" si="15"/>
        <v>5171947</v>
      </c>
      <c r="K230" s="149" t="str">
        <f t="shared" si="12"/>
        <v>OK</v>
      </c>
      <c r="L230" s="151" t="str">
        <f t="shared" si="13"/>
        <v>November</v>
      </c>
      <c r="M230" s="152">
        <f t="shared" si="14"/>
        <v>2019</v>
      </c>
    </row>
    <row r="231" spans="2:13" x14ac:dyDescent="0.25">
      <c r="B231" s="144" t="s">
        <v>819</v>
      </c>
      <c r="C231" s="134">
        <v>43781</v>
      </c>
      <c r="D231" s="120"/>
      <c r="E231" s="123">
        <v>455</v>
      </c>
      <c r="F231" s="133"/>
      <c r="G231" s="127"/>
      <c r="H231" s="106"/>
      <c r="I231" s="136"/>
      <c r="J231" s="140">
        <f t="shared" si="15"/>
        <v>5171947</v>
      </c>
      <c r="K231" s="149" t="str">
        <f t="shared" si="12"/>
        <v>OK</v>
      </c>
      <c r="L231" s="151" t="str">
        <f t="shared" si="13"/>
        <v>November</v>
      </c>
      <c r="M231" s="152">
        <f t="shared" si="14"/>
        <v>2019</v>
      </c>
    </row>
    <row r="232" spans="2:13" x14ac:dyDescent="0.25">
      <c r="B232" s="144" t="s">
        <v>820</v>
      </c>
      <c r="C232" s="134">
        <v>43782</v>
      </c>
      <c r="D232" s="120"/>
      <c r="E232" s="123">
        <v>456</v>
      </c>
      <c r="F232" s="133"/>
      <c r="G232" s="127"/>
      <c r="H232" s="106"/>
      <c r="I232" s="136"/>
      <c r="J232" s="140">
        <f t="shared" si="15"/>
        <v>5171947</v>
      </c>
      <c r="K232" s="149" t="str">
        <f t="shared" si="12"/>
        <v>OK</v>
      </c>
      <c r="L232" s="151" t="str">
        <f t="shared" si="13"/>
        <v>November</v>
      </c>
      <c r="M232" s="152">
        <f t="shared" si="14"/>
        <v>2019</v>
      </c>
    </row>
    <row r="233" spans="2:13" x14ac:dyDescent="0.25">
      <c r="B233" s="144" t="s">
        <v>821</v>
      </c>
      <c r="C233" s="134">
        <v>43783</v>
      </c>
      <c r="D233" s="120"/>
      <c r="E233" s="123">
        <v>457</v>
      </c>
      <c r="F233" s="133"/>
      <c r="G233" s="127"/>
      <c r="H233" s="106"/>
      <c r="I233" s="136"/>
      <c r="J233" s="140">
        <f t="shared" si="15"/>
        <v>5171947</v>
      </c>
      <c r="K233" s="149" t="str">
        <f t="shared" si="12"/>
        <v>OK</v>
      </c>
      <c r="L233" s="151" t="str">
        <f t="shared" si="13"/>
        <v>November</v>
      </c>
      <c r="M233" s="152">
        <f t="shared" si="14"/>
        <v>2019</v>
      </c>
    </row>
    <row r="234" spans="2:13" x14ac:dyDescent="0.25">
      <c r="B234" s="144" t="s">
        <v>822</v>
      </c>
      <c r="C234" s="134">
        <v>43784</v>
      </c>
      <c r="D234" s="120"/>
      <c r="E234" s="123">
        <v>458</v>
      </c>
      <c r="F234" s="133"/>
      <c r="G234" s="127"/>
      <c r="H234" s="106"/>
      <c r="I234" s="136"/>
      <c r="J234" s="140">
        <f t="shared" si="15"/>
        <v>5171947</v>
      </c>
      <c r="K234" s="149" t="str">
        <f t="shared" si="12"/>
        <v>OK</v>
      </c>
      <c r="L234" s="151" t="str">
        <f t="shared" si="13"/>
        <v>November</v>
      </c>
      <c r="M234" s="152">
        <f t="shared" si="14"/>
        <v>2019</v>
      </c>
    </row>
    <row r="235" spans="2:13" x14ac:dyDescent="0.25">
      <c r="B235" s="144" t="s">
        <v>823</v>
      </c>
      <c r="C235" s="134">
        <v>43785</v>
      </c>
      <c r="D235" s="120"/>
      <c r="E235" s="123">
        <v>459</v>
      </c>
      <c r="F235" s="133"/>
      <c r="G235" s="127"/>
      <c r="H235" s="106"/>
      <c r="I235" s="136"/>
      <c r="J235" s="140">
        <f t="shared" si="15"/>
        <v>5171947</v>
      </c>
      <c r="K235" s="149" t="str">
        <f t="shared" si="12"/>
        <v>OK</v>
      </c>
      <c r="L235" s="151" t="str">
        <f t="shared" si="13"/>
        <v>November</v>
      </c>
      <c r="M235" s="152">
        <f t="shared" si="14"/>
        <v>2019</v>
      </c>
    </row>
    <row r="236" spans="2:13" x14ac:dyDescent="0.25">
      <c r="B236" s="144" t="s">
        <v>824</v>
      </c>
      <c r="C236" s="134">
        <v>43786</v>
      </c>
      <c r="D236" s="120"/>
      <c r="E236" s="123">
        <v>460</v>
      </c>
      <c r="F236" s="133"/>
      <c r="G236" s="127"/>
      <c r="H236" s="106"/>
      <c r="I236" s="136"/>
      <c r="J236" s="140">
        <f t="shared" si="15"/>
        <v>5171947</v>
      </c>
      <c r="K236" s="149" t="str">
        <f t="shared" si="12"/>
        <v>OK</v>
      </c>
      <c r="L236" s="151" t="str">
        <f t="shared" si="13"/>
        <v>November</v>
      </c>
      <c r="M236" s="152">
        <f t="shared" si="14"/>
        <v>2019</v>
      </c>
    </row>
    <row r="237" spans="2:13" x14ac:dyDescent="0.25">
      <c r="B237" s="144" t="s">
        <v>825</v>
      </c>
      <c r="C237" s="134">
        <v>43787</v>
      </c>
      <c r="D237" s="120"/>
      <c r="E237" s="123">
        <v>461</v>
      </c>
      <c r="F237" s="133"/>
      <c r="G237" s="127"/>
      <c r="H237" s="106"/>
      <c r="I237" s="136"/>
      <c r="J237" s="140">
        <f t="shared" si="15"/>
        <v>5171947</v>
      </c>
      <c r="K237" s="149" t="str">
        <f t="shared" si="12"/>
        <v>OK</v>
      </c>
      <c r="L237" s="151" t="str">
        <f t="shared" si="13"/>
        <v>November</v>
      </c>
      <c r="M237" s="152">
        <f t="shared" si="14"/>
        <v>2019</v>
      </c>
    </row>
    <row r="238" spans="2:13" x14ac:dyDescent="0.25">
      <c r="B238" s="144" t="s">
        <v>826</v>
      </c>
      <c r="C238" s="134">
        <v>43788</v>
      </c>
      <c r="D238" s="120"/>
      <c r="E238" s="123">
        <v>462</v>
      </c>
      <c r="F238" s="133"/>
      <c r="G238" s="127"/>
      <c r="H238" s="106"/>
      <c r="I238" s="136"/>
      <c r="J238" s="140">
        <f t="shared" si="15"/>
        <v>5171947</v>
      </c>
      <c r="K238" s="149" t="str">
        <f t="shared" si="12"/>
        <v>OK</v>
      </c>
      <c r="L238" s="151" t="str">
        <f t="shared" si="13"/>
        <v>November</v>
      </c>
      <c r="M238" s="152">
        <f t="shared" si="14"/>
        <v>2019</v>
      </c>
    </row>
    <row r="239" spans="2:13" x14ac:dyDescent="0.25">
      <c r="B239" s="144" t="s">
        <v>827</v>
      </c>
      <c r="C239" s="134">
        <v>43789</v>
      </c>
      <c r="D239" s="120"/>
      <c r="E239" s="123">
        <v>463</v>
      </c>
      <c r="F239" s="133"/>
      <c r="G239" s="127"/>
      <c r="H239" s="106"/>
      <c r="I239" s="136"/>
      <c r="J239" s="140">
        <f t="shared" si="15"/>
        <v>5171947</v>
      </c>
      <c r="K239" s="149" t="str">
        <f t="shared" si="12"/>
        <v>OK</v>
      </c>
      <c r="L239" s="151" t="str">
        <f t="shared" si="13"/>
        <v>November</v>
      </c>
      <c r="M239" s="152">
        <f t="shared" si="14"/>
        <v>2019</v>
      </c>
    </row>
    <row r="240" spans="2:13" x14ac:dyDescent="0.25">
      <c r="B240" s="144" t="s">
        <v>828</v>
      </c>
      <c r="C240" s="134">
        <v>43790</v>
      </c>
      <c r="D240" s="120"/>
      <c r="E240" s="123">
        <v>464</v>
      </c>
      <c r="F240" s="133"/>
      <c r="G240" s="127"/>
      <c r="H240" s="106"/>
      <c r="I240" s="136"/>
      <c r="J240" s="140">
        <f t="shared" si="15"/>
        <v>5171947</v>
      </c>
      <c r="K240" s="149" t="str">
        <f t="shared" si="12"/>
        <v>OK</v>
      </c>
      <c r="L240" s="151" t="str">
        <f t="shared" si="13"/>
        <v>November</v>
      </c>
      <c r="M240" s="152">
        <f t="shared" si="14"/>
        <v>2019</v>
      </c>
    </row>
    <row r="241" spans="2:13" x14ac:dyDescent="0.25">
      <c r="B241" s="144" t="s">
        <v>829</v>
      </c>
      <c r="C241" s="134">
        <v>43791</v>
      </c>
      <c r="D241" s="120"/>
      <c r="E241" s="123">
        <v>465</v>
      </c>
      <c r="F241" s="133"/>
      <c r="G241" s="127"/>
      <c r="H241" s="106"/>
      <c r="I241" s="136"/>
      <c r="J241" s="140">
        <f t="shared" si="15"/>
        <v>5171947</v>
      </c>
      <c r="K241" s="149" t="str">
        <f t="shared" si="12"/>
        <v>OK</v>
      </c>
      <c r="L241" s="151" t="str">
        <f t="shared" si="13"/>
        <v>November</v>
      </c>
      <c r="M241" s="152">
        <f t="shared" si="14"/>
        <v>2019</v>
      </c>
    </row>
    <row r="242" spans="2:13" x14ac:dyDescent="0.25">
      <c r="B242" s="144" t="s">
        <v>830</v>
      </c>
      <c r="C242" s="134">
        <v>43792</v>
      </c>
      <c r="D242" s="120"/>
      <c r="E242" s="123">
        <v>466</v>
      </c>
      <c r="F242" s="133"/>
      <c r="G242" s="127"/>
      <c r="H242" s="106"/>
      <c r="I242" s="136"/>
      <c r="J242" s="140">
        <f t="shared" si="15"/>
        <v>5171947</v>
      </c>
      <c r="K242" s="149" t="str">
        <f t="shared" si="12"/>
        <v>OK</v>
      </c>
      <c r="L242" s="151" t="str">
        <f t="shared" si="13"/>
        <v>November</v>
      </c>
      <c r="M242" s="152">
        <f t="shared" si="14"/>
        <v>2019</v>
      </c>
    </row>
    <row r="243" spans="2:13" x14ac:dyDescent="0.25">
      <c r="B243" s="144" t="s">
        <v>831</v>
      </c>
      <c r="C243" s="134">
        <v>43793</v>
      </c>
      <c r="D243" s="120"/>
      <c r="E243" s="123">
        <v>467</v>
      </c>
      <c r="F243" s="133"/>
      <c r="G243" s="127"/>
      <c r="H243" s="106"/>
      <c r="I243" s="136"/>
      <c r="J243" s="140">
        <f t="shared" si="15"/>
        <v>5171947</v>
      </c>
      <c r="K243" s="149" t="str">
        <f t="shared" si="12"/>
        <v>OK</v>
      </c>
      <c r="L243" s="151" t="str">
        <f t="shared" si="13"/>
        <v>November</v>
      </c>
      <c r="M243" s="152">
        <f t="shared" si="14"/>
        <v>2019</v>
      </c>
    </row>
    <row r="244" spans="2:13" x14ac:dyDescent="0.25">
      <c r="B244" s="144" t="s">
        <v>832</v>
      </c>
      <c r="C244" s="134">
        <v>43794</v>
      </c>
      <c r="D244" s="120"/>
      <c r="E244" s="123">
        <v>468</v>
      </c>
      <c r="F244" s="133"/>
      <c r="G244" s="127"/>
      <c r="H244" s="106"/>
      <c r="I244" s="136"/>
      <c r="J244" s="140">
        <f t="shared" si="15"/>
        <v>5171947</v>
      </c>
      <c r="K244" s="149" t="str">
        <f t="shared" si="12"/>
        <v>OK</v>
      </c>
      <c r="L244" s="151" t="str">
        <f t="shared" si="13"/>
        <v>November</v>
      </c>
      <c r="M244" s="152">
        <f t="shared" si="14"/>
        <v>2019</v>
      </c>
    </row>
    <row r="245" spans="2:13" x14ac:dyDescent="0.25">
      <c r="B245" s="144" t="s">
        <v>833</v>
      </c>
      <c r="C245" s="134">
        <v>43795</v>
      </c>
      <c r="D245" s="120"/>
      <c r="E245" s="123">
        <v>469</v>
      </c>
      <c r="F245" s="133"/>
      <c r="G245" s="127"/>
      <c r="H245" s="106"/>
      <c r="I245" s="136"/>
      <c r="J245" s="140">
        <f t="shared" si="15"/>
        <v>5171947</v>
      </c>
      <c r="K245" s="149" t="str">
        <f t="shared" si="12"/>
        <v>OK</v>
      </c>
      <c r="L245" s="151" t="str">
        <f t="shared" si="13"/>
        <v>November</v>
      </c>
      <c r="M245" s="152">
        <f t="shared" si="14"/>
        <v>2019</v>
      </c>
    </row>
    <row r="246" spans="2:13" x14ac:dyDescent="0.25">
      <c r="B246" s="144" t="s">
        <v>834</v>
      </c>
      <c r="C246" s="134">
        <v>43796</v>
      </c>
      <c r="D246" s="120"/>
      <c r="E246" s="123">
        <v>470</v>
      </c>
      <c r="F246" s="133"/>
      <c r="G246" s="127"/>
      <c r="H246" s="106"/>
      <c r="I246" s="136"/>
      <c r="J246" s="140">
        <f t="shared" si="15"/>
        <v>5171947</v>
      </c>
      <c r="K246" s="149" t="str">
        <f t="shared" si="12"/>
        <v>OK</v>
      </c>
      <c r="L246" s="151" t="str">
        <f t="shared" si="13"/>
        <v>November</v>
      </c>
      <c r="M246" s="152">
        <f t="shared" si="14"/>
        <v>2019</v>
      </c>
    </row>
    <row r="247" spans="2:13" x14ac:dyDescent="0.25">
      <c r="B247" s="144" t="s">
        <v>835</v>
      </c>
      <c r="C247" s="134">
        <v>43797</v>
      </c>
      <c r="D247" s="120"/>
      <c r="E247" s="123">
        <v>471</v>
      </c>
      <c r="F247" s="133"/>
      <c r="G247" s="127"/>
      <c r="H247" s="106"/>
      <c r="I247" s="136"/>
      <c r="J247" s="140">
        <f t="shared" si="15"/>
        <v>5171947</v>
      </c>
      <c r="K247" s="149" t="str">
        <f t="shared" si="12"/>
        <v>OK</v>
      </c>
      <c r="L247" s="151" t="str">
        <f t="shared" si="13"/>
        <v>November</v>
      </c>
      <c r="M247" s="152">
        <f t="shared" si="14"/>
        <v>2019</v>
      </c>
    </row>
    <row r="248" spans="2:13" x14ac:dyDescent="0.25">
      <c r="B248" s="144" t="s">
        <v>836</v>
      </c>
      <c r="C248" s="134">
        <v>43798</v>
      </c>
      <c r="D248" s="120"/>
      <c r="E248" s="123">
        <v>472</v>
      </c>
      <c r="F248" s="133"/>
      <c r="G248" s="127"/>
      <c r="H248" s="106"/>
      <c r="I248" s="136"/>
      <c r="J248" s="140">
        <f t="shared" si="15"/>
        <v>5171947</v>
      </c>
      <c r="K248" s="149" t="str">
        <f t="shared" si="12"/>
        <v>OK</v>
      </c>
      <c r="L248" s="151" t="str">
        <f t="shared" si="13"/>
        <v>November</v>
      </c>
      <c r="M248" s="152">
        <f t="shared" si="14"/>
        <v>2019</v>
      </c>
    </row>
    <row r="249" spans="2:13" x14ac:dyDescent="0.25">
      <c r="B249" s="144" t="s">
        <v>837</v>
      </c>
      <c r="C249" s="134">
        <v>43799</v>
      </c>
      <c r="D249" s="120"/>
      <c r="E249" s="123">
        <v>473</v>
      </c>
      <c r="F249" s="133"/>
      <c r="G249" s="127"/>
      <c r="H249" s="106"/>
      <c r="I249" s="136"/>
      <c r="J249" s="140">
        <f t="shared" si="15"/>
        <v>5171947</v>
      </c>
      <c r="K249" s="149" t="str">
        <f t="shared" si="12"/>
        <v>OK</v>
      </c>
      <c r="L249" s="151" t="str">
        <f t="shared" si="13"/>
        <v>November</v>
      </c>
      <c r="M249" s="152">
        <f t="shared" si="14"/>
        <v>2019</v>
      </c>
    </row>
    <row r="250" spans="2:13" x14ac:dyDescent="0.25">
      <c r="B250" s="144" t="s">
        <v>838</v>
      </c>
      <c r="C250" s="134">
        <v>43800</v>
      </c>
      <c r="D250" s="120"/>
      <c r="E250" s="123">
        <v>474</v>
      </c>
      <c r="F250" s="133"/>
      <c r="G250" s="127"/>
      <c r="H250" s="106"/>
      <c r="I250" s="136"/>
      <c r="J250" s="140">
        <f t="shared" si="15"/>
        <v>5171947</v>
      </c>
      <c r="K250" s="149" t="str">
        <f t="shared" si="12"/>
        <v>OK</v>
      </c>
      <c r="L250" s="151" t="str">
        <f t="shared" si="13"/>
        <v>December</v>
      </c>
      <c r="M250" s="152">
        <f t="shared" si="14"/>
        <v>2019</v>
      </c>
    </row>
    <row r="251" spans="2:13" x14ac:dyDescent="0.25">
      <c r="B251" s="144" t="s">
        <v>839</v>
      </c>
      <c r="C251" s="134">
        <v>43801</v>
      </c>
      <c r="D251" s="120"/>
      <c r="E251" s="123">
        <v>475</v>
      </c>
      <c r="F251" s="133"/>
      <c r="G251" s="127"/>
      <c r="H251" s="106"/>
      <c r="I251" s="136"/>
      <c r="J251" s="140">
        <f t="shared" si="15"/>
        <v>5171947</v>
      </c>
      <c r="K251" s="149" t="str">
        <f t="shared" si="12"/>
        <v>OK</v>
      </c>
      <c r="L251" s="151" t="str">
        <f t="shared" si="13"/>
        <v>December</v>
      </c>
      <c r="M251" s="152">
        <f t="shared" si="14"/>
        <v>2019</v>
      </c>
    </row>
    <row r="252" spans="2:13" x14ac:dyDescent="0.25">
      <c r="B252" s="144" t="s">
        <v>840</v>
      </c>
      <c r="C252" s="134">
        <v>43802</v>
      </c>
      <c r="D252" s="120"/>
      <c r="E252" s="123">
        <v>476</v>
      </c>
      <c r="F252" s="133"/>
      <c r="G252" s="127"/>
      <c r="H252" s="106"/>
      <c r="I252" s="136"/>
      <c r="J252" s="140">
        <f t="shared" si="15"/>
        <v>5171947</v>
      </c>
      <c r="K252" s="149" t="str">
        <f t="shared" si="12"/>
        <v>OK</v>
      </c>
      <c r="L252" s="151" t="str">
        <f t="shared" si="13"/>
        <v>December</v>
      </c>
      <c r="M252" s="152">
        <f t="shared" si="14"/>
        <v>2019</v>
      </c>
    </row>
    <row r="253" spans="2:13" x14ac:dyDescent="0.25">
      <c r="B253" s="144" t="s">
        <v>841</v>
      </c>
      <c r="C253" s="134">
        <v>43803</v>
      </c>
      <c r="D253" s="120"/>
      <c r="E253" s="123">
        <v>477</v>
      </c>
      <c r="F253" s="133"/>
      <c r="G253" s="127"/>
      <c r="H253" s="106"/>
      <c r="I253" s="136"/>
      <c r="J253" s="140">
        <f t="shared" si="15"/>
        <v>5171947</v>
      </c>
      <c r="K253" s="149" t="str">
        <f t="shared" si="12"/>
        <v>OK</v>
      </c>
      <c r="L253" s="151" t="str">
        <f t="shared" si="13"/>
        <v>December</v>
      </c>
      <c r="M253" s="152">
        <f t="shared" si="14"/>
        <v>2019</v>
      </c>
    </row>
    <row r="254" spans="2:13" x14ac:dyDescent="0.25">
      <c r="B254" s="144" t="s">
        <v>842</v>
      </c>
      <c r="C254" s="134">
        <v>43804</v>
      </c>
      <c r="D254" s="120"/>
      <c r="E254" s="123">
        <v>478</v>
      </c>
      <c r="F254" s="133"/>
      <c r="G254" s="127"/>
      <c r="H254" s="106"/>
      <c r="I254" s="136"/>
      <c r="J254" s="140">
        <f t="shared" si="15"/>
        <v>5171947</v>
      </c>
      <c r="K254" s="149" t="str">
        <f t="shared" si="12"/>
        <v>OK</v>
      </c>
      <c r="L254" s="151" t="str">
        <f t="shared" si="13"/>
        <v>December</v>
      </c>
      <c r="M254" s="152">
        <f t="shared" si="14"/>
        <v>2019</v>
      </c>
    </row>
    <row r="255" spans="2:13" x14ac:dyDescent="0.25">
      <c r="B255" s="144" t="s">
        <v>843</v>
      </c>
      <c r="C255" s="134">
        <v>43805</v>
      </c>
      <c r="D255" s="120"/>
      <c r="E255" s="123">
        <v>479</v>
      </c>
      <c r="F255" s="133"/>
      <c r="G255" s="127"/>
      <c r="H255" s="106"/>
      <c r="I255" s="136"/>
      <c r="J255" s="140">
        <f t="shared" si="15"/>
        <v>5171947</v>
      </c>
      <c r="K255" s="149" t="str">
        <f t="shared" si="12"/>
        <v>OK</v>
      </c>
      <c r="L255" s="151" t="str">
        <f t="shared" si="13"/>
        <v>December</v>
      </c>
      <c r="M255" s="152">
        <f t="shared" si="14"/>
        <v>2019</v>
      </c>
    </row>
    <row r="256" spans="2:13" x14ac:dyDescent="0.25">
      <c r="B256" s="144" t="s">
        <v>844</v>
      </c>
      <c r="C256" s="134">
        <v>43806</v>
      </c>
      <c r="D256" s="120"/>
      <c r="E256" s="123">
        <v>480</v>
      </c>
      <c r="F256" s="133"/>
      <c r="G256" s="127"/>
      <c r="H256" s="106"/>
      <c r="I256" s="136"/>
      <c r="J256" s="140">
        <f t="shared" si="15"/>
        <v>5171947</v>
      </c>
      <c r="K256" s="149" t="str">
        <f t="shared" si="12"/>
        <v>OK</v>
      </c>
      <c r="L256" s="151" t="str">
        <f t="shared" si="13"/>
        <v>December</v>
      </c>
      <c r="M256" s="152">
        <f t="shared" si="14"/>
        <v>2019</v>
      </c>
    </row>
    <row r="257" spans="2:13" x14ac:dyDescent="0.25">
      <c r="B257" s="144" t="s">
        <v>845</v>
      </c>
      <c r="C257" s="134">
        <v>43807</v>
      </c>
      <c r="D257" s="120"/>
      <c r="E257" s="123">
        <v>481</v>
      </c>
      <c r="F257" s="133"/>
      <c r="G257" s="127"/>
      <c r="H257" s="106"/>
      <c r="I257" s="136"/>
      <c r="J257" s="140">
        <f t="shared" si="15"/>
        <v>5171947</v>
      </c>
      <c r="K257" s="149" t="str">
        <f t="shared" si="12"/>
        <v>OK</v>
      </c>
      <c r="L257" s="151" t="str">
        <f t="shared" si="13"/>
        <v>December</v>
      </c>
      <c r="M257" s="152">
        <f t="shared" si="14"/>
        <v>2019</v>
      </c>
    </row>
    <row r="258" spans="2:13" x14ac:dyDescent="0.25">
      <c r="B258" s="144" t="s">
        <v>846</v>
      </c>
      <c r="C258" s="134">
        <v>43808</v>
      </c>
      <c r="D258" s="120"/>
      <c r="E258" s="123">
        <v>482</v>
      </c>
      <c r="F258" s="133"/>
      <c r="G258" s="127"/>
      <c r="H258" s="106"/>
      <c r="I258" s="136"/>
      <c r="J258" s="140">
        <f t="shared" si="15"/>
        <v>5171947</v>
      </c>
      <c r="K258" s="149" t="str">
        <f t="shared" si="12"/>
        <v>OK</v>
      </c>
      <c r="L258" s="151" t="str">
        <f t="shared" si="13"/>
        <v>December</v>
      </c>
      <c r="M258" s="152">
        <f t="shared" si="14"/>
        <v>2019</v>
      </c>
    </row>
    <row r="259" spans="2:13" x14ac:dyDescent="0.25">
      <c r="B259" s="144" t="s">
        <v>847</v>
      </c>
      <c r="C259" s="134">
        <v>43809</v>
      </c>
      <c r="D259" s="120"/>
      <c r="E259" s="123">
        <v>483</v>
      </c>
      <c r="F259" s="133"/>
      <c r="G259" s="127"/>
      <c r="H259" s="106"/>
      <c r="I259" s="136"/>
      <c r="J259" s="140">
        <f t="shared" si="15"/>
        <v>5171947</v>
      </c>
      <c r="K259" s="149" t="str">
        <f t="shared" si="12"/>
        <v>OK</v>
      </c>
      <c r="L259" s="151" t="str">
        <f t="shared" si="13"/>
        <v>December</v>
      </c>
      <c r="M259" s="152">
        <f t="shared" si="14"/>
        <v>2019</v>
      </c>
    </row>
    <row r="260" spans="2:13" x14ac:dyDescent="0.25">
      <c r="B260" s="144" t="s">
        <v>848</v>
      </c>
      <c r="C260" s="134">
        <v>43810</v>
      </c>
      <c r="D260" s="120"/>
      <c r="E260" s="123">
        <v>484</v>
      </c>
      <c r="F260" s="133"/>
      <c r="G260" s="127"/>
      <c r="H260" s="106"/>
      <c r="I260" s="136"/>
      <c r="J260" s="140">
        <f t="shared" si="15"/>
        <v>5171947</v>
      </c>
      <c r="K260" s="149" t="str">
        <f t="shared" si="12"/>
        <v>OK</v>
      </c>
      <c r="L260" s="151" t="str">
        <f t="shared" si="13"/>
        <v>December</v>
      </c>
      <c r="M260" s="152">
        <f t="shared" si="14"/>
        <v>2019</v>
      </c>
    </row>
    <row r="261" spans="2:13" x14ac:dyDescent="0.25">
      <c r="B261" s="144" t="s">
        <v>849</v>
      </c>
      <c r="C261" s="134">
        <v>43811</v>
      </c>
      <c r="D261" s="120"/>
      <c r="E261" s="123">
        <v>485</v>
      </c>
      <c r="F261" s="133"/>
      <c r="G261" s="127"/>
      <c r="H261" s="106"/>
      <c r="I261" s="136"/>
      <c r="J261" s="140">
        <f t="shared" si="15"/>
        <v>5171947</v>
      </c>
      <c r="K261" s="149" t="str">
        <f t="shared" si="12"/>
        <v>OK</v>
      </c>
      <c r="L261" s="151" t="str">
        <f t="shared" si="13"/>
        <v>December</v>
      </c>
      <c r="M261" s="152">
        <f t="shared" si="14"/>
        <v>2019</v>
      </c>
    </row>
    <row r="262" spans="2:13" x14ac:dyDescent="0.25">
      <c r="B262" s="144" t="s">
        <v>850</v>
      </c>
      <c r="C262" s="134">
        <v>43812</v>
      </c>
      <c r="D262" s="120"/>
      <c r="E262" s="123">
        <v>486</v>
      </c>
      <c r="F262" s="133"/>
      <c r="G262" s="127"/>
      <c r="H262" s="106"/>
      <c r="I262" s="136"/>
      <c r="J262" s="140">
        <f t="shared" si="15"/>
        <v>5171947</v>
      </c>
      <c r="K262" s="149" t="str">
        <f t="shared" si="12"/>
        <v>OK</v>
      </c>
      <c r="L262" s="151" t="str">
        <f t="shared" si="13"/>
        <v>December</v>
      </c>
      <c r="M262" s="152">
        <f t="shared" si="14"/>
        <v>2019</v>
      </c>
    </row>
    <row r="263" spans="2:13" x14ac:dyDescent="0.25">
      <c r="B263" s="144" t="s">
        <v>851</v>
      </c>
      <c r="C263" s="134">
        <v>43813</v>
      </c>
      <c r="D263" s="120"/>
      <c r="E263" s="123">
        <v>487</v>
      </c>
      <c r="F263" s="133"/>
      <c r="G263" s="127"/>
      <c r="H263" s="106"/>
      <c r="I263" s="136"/>
      <c r="J263" s="140">
        <f t="shared" si="15"/>
        <v>5171947</v>
      </c>
      <c r="K263" s="149" t="str">
        <f t="shared" si="12"/>
        <v>OK</v>
      </c>
      <c r="L263" s="151" t="str">
        <f t="shared" si="13"/>
        <v>December</v>
      </c>
      <c r="M263" s="152">
        <f t="shared" si="14"/>
        <v>2019</v>
      </c>
    </row>
    <row r="264" spans="2:13" x14ac:dyDescent="0.25">
      <c r="B264" s="144" t="s">
        <v>852</v>
      </c>
      <c r="C264" s="134">
        <v>43814</v>
      </c>
      <c r="D264" s="120"/>
      <c r="E264" s="123">
        <v>488</v>
      </c>
      <c r="F264" s="133"/>
      <c r="G264" s="127"/>
      <c r="H264" s="106"/>
      <c r="I264" s="136"/>
      <c r="J264" s="140">
        <f t="shared" si="15"/>
        <v>5171947</v>
      </c>
      <c r="K264" s="149" t="str">
        <f t="shared" si="12"/>
        <v>OK</v>
      </c>
      <c r="L264" s="151" t="str">
        <f t="shared" si="13"/>
        <v>December</v>
      </c>
      <c r="M264" s="152">
        <f t="shared" si="14"/>
        <v>2019</v>
      </c>
    </row>
    <row r="265" spans="2:13" x14ac:dyDescent="0.25">
      <c r="B265" s="144" t="s">
        <v>853</v>
      </c>
      <c r="C265" s="134">
        <v>43815</v>
      </c>
      <c r="D265" s="120"/>
      <c r="E265" s="123">
        <v>489</v>
      </c>
      <c r="F265" s="133"/>
      <c r="G265" s="127"/>
      <c r="H265" s="106"/>
      <c r="I265" s="136"/>
      <c r="J265" s="140">
        <f t="shared" si="15"/>
        <v>5171947</v>
      </c>
      <c r="K265" s="149" t="str">
        <f t="shared" si="12"/>
        <v>OK</v>
      </c>
      <c r="L265" s="151" t="str">
        <f t="shared" si="13"/>
        <v>December</v>
      </c>
      <c r="M265" s="152">
        <f t="shared" si="14"/>
        <v>2019</v>
      </c>
    </row>
    <row r="266" spans="2:13" x14ac:dyDescent="0.25">
      <c r="B266" s="144" t="s">
        <v>854</v>
      </c>
      <c r="C266" s="134">
        <v>43816</v>
      </c>
      <c r="D266" s="120"/>
      <c r="E266" s="123">
        <v>490</v>
      </c>
      <c r="F266" s="133"/>
      <c r="G266" s="127"/>
      <c r="H266" s="106"/>
      <c r="I266" s="136"/>
      <c r="J266" s="140">
        <f t="shared" si="15"/>
        <v>5171947</v>
      </c>
      <c r="K266" s="149" t="str">
        <f t="shared" si="12"/>
        <v>OK</v>
      </c>
      <c r="L266" s="151" t="str">
        <f t="shared" si="13"/>
        <v>December</v>
      </c>
      <c r="M266" s="152">
        <f t="shared" si="14"/>
        <v>2019</v>
      </c>
    </row>
    <row r="267" spans="2:13" x14ac:dyDescent="0.25">
      <c r="B267" s="144" t="s">
        <v>855</v>
      </c>
      <c r="C267" s="134">
        <v>43817</v>
      </c>
      <c r="D267" s="120"/>
      <c r="E267" s="123">
        <v>491</v>
      </c>
      <c r="F267" s="133"/>
      <c r="G267" s="127"/>
      <c r="H267" s="106"/>
      <c r="I267" s="136"/>
      <c r="J267" s="140">
        <f t="shared" si="15"/>
        <v>5171947</v>
      </c>
      <c r="K267" s="149" t="str">
        <f t="shared" ref="K267:K330" si="16">IF(AND(F267&lt;&gt;"",G267&lt;&gt;""),"ERROR","OK")</f>
        <v>OK</v>
      </c>
      <c r="L267" s="151" t="str">
        <f t="shared" ref="L267:L330" si="17">TEXT(C267,"mmmm")</f>
        <v>December</v>
      </c>
      <c r="M267" s="152">
        <f t="shared" ref="M267:M330" si="18">YEAR(C267)</f>
        <v>2019</v>
      </c>
    </row>
    <row r="268" spans="2:13" x14ac:dyDescent="0.25">
      <c r="B268" s="144" t="s">
        <v>856</v>
      </c>
      <c r="C268" s="134">
        <v>43818</v>
      </c>
      <c r="D268" s="120"/>
      <c r="E268" s="123">
        <v>492</v>
      </c>
      <c r="F268" s="133"/>
      <c r="G268" s="127"/>
      <c r="H268" s="106"/>
      <c r="I268" s="136"/>
      <c r="J268" s="140">
        <f t="shared" ref="J268:J331" si="19">($J267+$F268)-$G268</f>
        <v>5171947</v>
      </c>
      <c r="K268" s="149" t="str">
        <f t="shared" si="16"/>
        <v>OK</v>
      </c>
      <c r="L268" s="151" t="str">
        <f t="shared" si="17"/>
        <v>December</v>
      </c>
      <c r="M268" s="152">
        <f t="shared" si="18"/>
        <v>2019</v>
      </c>
    </row>
    <row r="269" spans="2:13" x14ac:dyDescent="0.25">
      <c r="B269" s="144" t="s">
        <v>857</v>
      </c>
      <c r="C269" s="134">
        <v>43819</v>
      </c>
      <c r="D269" s="120"/>
      <c r="E269" s="123">
        <v>493</v>
      </c>
      <c r="F269" s="133"/>
      <c r="G269" s="127"/>
      <c r="H269" s="106"/>
      <c r="I269" s="136"/>
      <c r="J269" s="140">
        <f t="shared" si="19"/>
        <v>5171947</v>
      </c>
      <c r="K269" s="149" t="str">
        <f t="shared" si="16"/>
        <v>OK</v>
      </c>
      <c r="L269" s="151" t="str">
        <f t="shared" si="17"/>
        <v>December</v>
      </c>
      <c r="M269" s="152">
        <f t="shared" si="18"/>
        <v>2019</v>
      </c>
    </row>
    <row r="270" spans="2:13" x14ac:dyDescent="0.25">
      <c r="B270" s="144" t="s">
        <v>858</v>
      </c>
      <c r="C270" s="134">
        <v>43820</v>
      </c>
      <c r="D270" s="120"/>
      <c r="E270" s="123">
        <v>494</v>
      </c>
      <c r="F270" s="133"/>
      <c r="G270" s="127"/>
      <c r="H270" s="106"/>
      <c r="I270" s="136"/>
      <c r="J270" s="140">
        <f t="shared" si="19"/>
        <v>5171947</v>
      </c>
      <c r="K270" s="149" t="str">
        <f t="shared" si="16"/>
        <v>OK</v>
      </c>
      <c r="L270" s="151" t="str">
        <f t="shared" si="17"/>
        <v>December</v>
      </c>
      <c r="M270" s="152">
        <f t="shared" si="18"/>
        <v>2019</v>
      </c>
    </row>
    <row r="271" spans="2:13" x14ac:dyDescent="0.25">
      <c r="B271" s="144" t="s">
        <v>859</v>
      </c>
      <c r="C271" s="134">
        <v>43821</v>
      </c>
      <c r="D271" s="120"/>
      <c r="E271" s="123">
        <v>495</v>
      </c>
      <c r="F271" s="133"/>
      <c r="G271" s="127"/>
      <c r="H271" s="106"/>
      <c r="I271" s="136"/>
      <c r="J271" s="140">
        <f t="shared" si="19"/>
        <v>5171947</v>
      </c>
      <c r="K271" s="149" t="str">
        <f t="shared" si="16"/>
        <v>OK</v>
      </c>
      <c r="L271" s="151" t="str">
        <f t="shared" si="17"/>
        <v>December</v>
      </c>
      <c r="M271" s="152">
        <f t="shared" si="18"/>
        <v>2019</v>
      </c>
    </row>
    <row r="272" spans="2:13" x14ac:dyDescent="0.25">
      <c r="B272" s="144" t="s">
        <v>860</v>
      </c>
      <c r="C272" s="134">
        <v>43822</v>
      </c>
      <c r="D272" s="120"/>
      <c r="E272" s="123">
        <v>496</v>
      </c>
      <c r="F272" s="133"/>
      <c r="G272" s="127"/>
      <c r="H272" s="106"/>
      <c r="I272" s="136"/>
      <c r="J272" s="140">
        <f t="shared" si="19"/>
        <v>5171947</v>
      </c>
      <c r="K272" s="149" t="str">
        <f t="shared" si="16"/>
        <v>OK</v>
      </c>
      <c r="L272" s="151" t="str">
        <f t="shared" si="17"/>
        <v>December</v>
      </c>
      <c r="M272" s="152">
        <f t="shared" si="18"/>
        <v>2019</v>
      </c>
    </row>
    <row r="273" spans="2:13" x14ac:dyDescent="0.25">
      <c r="B273" s="144" t="s">
        <v>861</v>
      </c>
      <c r="C273" s="134">
        <v>43823</v>
      </c>
      <c r="D273" s="120"/>
      <c r="E273" s="123">
        <v>497</v>
      </c>
      <c r="F273" s="133"/>
      <c r="G273" s="127"/>
      <c r="H273" s="106"/>
      <c r="I273" s="136"/>
      <c r="J273" s="140">
        <f t="shared" si="19"/>
        <v>5171947</v>
      </c>
      <c r="K273" s="149" t="str">
        <f t="shared" si="16"/>
        <v>OK</v>
      </c>
      <c r="L273" s="151" t="str">
        <f t="shared" si="17"/>
        <v>December</v>
      </c>
      <c r="M273" s="152">
        <f t="shared" si="18"/>
        <v>2019</v>
      </c>
    </row>
    <row r="274" spans="2:13" x14ac:dyDescent="0.25">
      <c r="B274" s="144" t="s">
        <v>862</v>
      </c>
      <c r="C274" s="134">
        <v>43824</v>
      </c>
      <c r="D274" s="120"/>
      <c r="E274" s="123">
        <v>498</v>
      </c>
      <c r="F274" s="133"/>
      <c r="G274" s="127"/>
      <c r="H274" s="106"/>
      <c r="I274" s="136"/>
      <c r="J274" s="140">
        <f t="shared" si="19"/>
        <v>5171947</v>
      </c>
      <c r="K274" s="149" t="str">
        <f t="shared" si="16"/>
        <v>OK</v>
      </c>
      <c r="L274" s="151" t="str">
        <f t="shared" si="17"/>
        <v>December</v>
      </c>
      <c r="M274" s="152">
        <f t="shared" si="18"/>
        <v>2019</v>
      </c>
    </row>
    <row r="275" spans="2:13" x14ac:dyDescent="0.25">
      <c r="B275" s="144" t="s">
        <v>863</v>
      </c>
      <c r="C275" s="134">
        <v>43825</v>
      </c>
      <c r="D275" s="120"/>
      <c r="E275" s="123">
        <v>499</v>
      </c>
      <c r="F275" s="133"/>
      <c r="G275" s="127"/>
      <c r="H275" s="106"/>
      <c r="I275" s="136"/>
      <c r="J275" s="140">
        <f t="shared" si="19"/>
        <v>5171947</v>
      </c>
      <c r="K275" s="149" t="str">
        <f t="shared" si="16"/>
        <v>OK</v>
      </c>
      <c r="L275" s="151" t="str">
        <f t="shared" si="17"/>
        <v>December</v>
      </c>
      <c r="M275" s="152">
        <f t="shared" si="18"/>
        <v>2019</v>
      </c>
    </row>
    <row r="276" spans="2:13" x14ac:dyDescent="0.25">
      <c r="B276" s="144" t="s">
        <v>864</v>
      </c>
      <c r="C276" s="134">
        <v>43826</v>
      </c>
      <c r="D276" s="120"/>
      <c r="E276" s="123">
        <v>500</v>
      </c>
      <c r="F276" s="133"/>
      <c r="G276" s="127"/>
      <c r="H276" s="106"/>
      <c r="I276" s="136"/>
      <c r="J276" s="140">
        <f t="shared" si="19"/>
        <v>5171947</v>
      </c>
      <c r="K276" s="149" t="str">
        <f t="shared" si="16"/>
        <v>OK</v>
      </c>
      <c r="L276" s="151" t="str">
        <f t="shared" si="17"/>
        <v>December</v>
      </c>
      <c r="M276" s="152">
        <f t="shared" si="18"/>
        <v>2019</v>
      </c>
    </row>
    <row r="277" spans="2:13" x14ac:dyDescent="0.25">
      <c r="B277" s="144" t="s">
        <v>865</v>
      </c>
      <c r="C277" s="134">
        <v>43827</v>
      </c>
      <c r="D277" s="120"/>
      <c r="E277" s="123">
        <v>501</v>
      </c>
      <c r="F277" s="133"/>
      <c r="G277" s="127"/>
      <c r="H277" s="106"/>
      <c r="I277" s="136"/>
      <c r="J277" s="140">
        <f t="shared" si="19"/>
        <v>5171947</v>
      </c>
      <c r="K277" s="149" t="str">
        <f t="shared" si="16"/>
        <v>OK</v>
      </c>
      <c r="L277" s="151" t="str">
        <f t="shared" si="17"/>
        <v>December</v>
      </c>
      <c r="M277" s="152">
        <f t="shared" si="18"/>
        <v>2019</v>
      </c>
    </row>
    <row r="278" spans="2:13" x14ac:dyDescent="0.25">
      <c r="B278" s="144" t="s">
        <v>866</v>
      </c>
      <c r="C278" s="134">
        <v>43828</v>
      </c>
      <c r="D278" s="120"/>
      <c r="E278" s="123">
        <v>502</v>
      </c>
      <c r="F278" s="133"/>
      <c r="G278" s="127"/>
      <c r="H278" s="106"/>
      <c r="I278" s="136"/>
      <c r="J278" s="140">
        <f t="shared" si="19"/>
        <v>5171947</v>
      </c>
      <c r="K278" s="149" t="str">
        <f t="shared" si="16"/>
        <v>OK</v>
      </c>
      <c r="L278" s="151" t="str">
        <f t="shared" si="17"/>
        <v>December</v>
      </c>
      <c r="M278" s="152">
        <f t="shared" si="18"/>
        <v>2019</v>
      </c>
    </row>
    <row r="279" spans="2:13" x14ac:dyDescent="0.25">
      <c r="B279" s="144" t="s">
        <v>867</v>
      </c>
      <c r="C279" s="134">
        <v>43829</v>
      </c>
      <c r="D279" s="120"/>
      <c r="E279" s="123">
        <v>503</v>
      </c>
      <c r="F279" s="133"/>
      <c r="G279" s="127"/>
      <c r="H279" s="106"/>
      <c r="I279" s="136"/>
      <c r="J279" s="140">
        <f t="shared" si="19"/>
        <v>5171947</v>
      </c>
      <c r="K279" s="149" t="str">
        <f t="shared" si="16"/>
        <v>OK</v>
      </c>
      <c r="L279" s="151" t="str">
        <f t="shared" si="17"/>
        <v>December</v>
      </c>
      <c r="M279" s="152">
        <f t="shared" si="18"/>
        <v>2019</v>
      </c>
    </row>
    <row r="280" spans="2:13" x14ac:dyDescent="0.25">
      <c r="B280" s="144" t="s">
        <v>868</v>
      </c>
      <c r="C280" s="134">
        <v>43830</v>
      </c>
      <c r="D280" s="120"/>
      <c r="E280" s="123">
        <v>504</v>
      </c>
      <c r="F280" s="133"/>
      <c r="G280" s="127"/>
      <c r="H280" s="106"/>
      <c r="I280" s="136"/>
      <c r="J280" s="140">
        <f t="shared" si="19"/>
        <v>5171947</v>
      </c>
      <c r="K280" s="149" t="str">
        <f t="shared" si="16"/>
        <v>OK</v>
      </c>
      <c r="L280" s="151" t="str">
        <f t="shared" si="17"/>
        <v>December</v>
      </c>
      <c r="M280" s="152">
        <f t="shared" si="18"/>
        <v>2019</v>
      </c>
    </row>
    <row r="281" spans="2:13" x14ac:dyDescent="0.25">
      <c r="B281" s="144" t="s">
        <v>869</v>
      </c>
      <c r="C281" s="134">
        <v>43831</v>
      </c>
      <c r="D281" s="120"/>
      <c r="E281" s="123">
        <v>505</v>
      </c>
      <c r="F281" s="133"/>
      <c r="G281" s="127"/>
      <c r="H281" s="106"/>
      <c r="I281" s="136"/>
      <c r="J281" s="140">
        <f t="shared" si="19"/>
        <v>5171947</v>
      </c>
      <c r="K281" s="149" t="str">
        <f t="shared" si="16"/>
        <v>OK</v>
      </c>
      <c r="L281" s="151" t="str">
        <f t="shared" si="17"/>
        <v>January</v>
      </c>
      <c r="M281" s="152">
        <f t="shared" si="18"/>
        <v>2020</v>
      </c>
    </row>
    <row r="282" spans="2:13" x14ac:dyDescent="0.25">
      <c r="B282" s="144" t="s">
        <v>870</v>
      </c>
      <c r="C282" s="134">
        <v>43832</v>
      </c>
      <c r="D282" s="120"/>
      <c r="E282" s="123">
        <v>506</v>
      </c>
      <c r="F282" s="133"/>
      <c r="G282" s="127"/>
      <c r="H282" s="106"/>
      <c r="I282" s="136"/>
      <c r="J282" s="140">
        <f t="shared" si="19"/>
        <v>5171947</v>
      </c>
      <c r="K282" s="149" t="str">
        <f t="shared" si="16"/>
        <v>OK</v>
      </c>
      <c r="L282" s="151" t="str">
        <f t="shared" si="17"/>
        <v>January</v>
      </c>
      <c r="M282" s="152">
        <f t="shared" si="18"/>
        <v>2020</v>
      </c>
    </row>
    <row r="283" spans="2:13" x14ac:dyDescent="0.25">
      <c r="B283" s="144" t="s">
        <v>871</v>
      </c>
      <c r="C283" s="134">
        <v>43833</v>
      </c>
      <c r="D283" s="120"/>
      <c r="E283" s="123">
        <v>507</v>
      </c>
      <c r="F283" s="133"/>
      <c r="G283" s="127"/>
      <c r="H283" s="106"/>
      <c r="I283" s="136"/>
      <c r="J283" s="140">
        <f t="shared" si="19"/>
        <v>5171947</v>
      </c>
      <c r="K283" s="149" t="str">
        <f t="shared" si="16"/>
        <v>OK</v>
      </c>
      <c r="L283" s="151" t="str">
        <f t="shared" si="17"/>
        <v>January</v>
      </c>
      <c r="M283" s="152">
        <f t="shared" si="18"/>
        <v>2020</v>
      </c>
    </row>
    <row r="284" spans="2:13" x14ac:dyDescent="0.25">
      <c r="B284" s="144" t="s">
        <v>872</v>
      </c>
      <c r="C284" s="134">
        <v>43834</v>
      </c>
      <c r="D284" s="120"/>
      <c r="E284" s="123">
        <v>508</v>
      </c>
      <c r="F284" s="133"/>
      <c r="G284" s="127"/>
      <c r="H284" s="106"/>
      <c r="I284" s="136"/>
      <c r="J284" s="140">
        <f t="shared" si="19"/>
        <v>5171947</v>
      </c>
      <c r="K284" s="149" t="str">
        <f t="shared" si="16"/>
        <v>OK</v>
      </c>
      <c r="L284" s="151" t="str">
        <f t="shared" si="17"/>
        <v>January</v>
      </c>
      <c r="M284" s="152">
        <f t="shared" si="18"/>
        <v>2020</v>
      </c>
    </row>
    <row r="285" spans="2:13" x14ac:dyDescent="0.25">
      <c r="B285" s="144" t="s">
        <v>873</v>
      </c>
      <c r="C285" s="134">
        <v>43835</v>
      </c>
      <c r="D285" s="120"/>
      <c r="E285" s="123">
        <v>509</v>
      </c>
      <c r="F285" s="133"/>
      <c r="G285" s="127"/>
      <c r="H285" s="106"/>
      <c r="I285" s="136"/>
      <c r="J285" s="140">
        <f t="shared" si="19"/>
        <v>5171947</v>
      </c>
      <c r="K285" s="149" t="str">
        <f t="shared" si="16"/>
        <v>OK</v>
      </c>
      <c r="L285" s="151" t="str">
        <f t="shared" si="17"/>
        <v>January</v>
      </c>
      <c r="M285" s="152">
        <f t="shared" si="18"/>
        <v>2020</v>
      </c>
    </row>
    <row r="286" spans="2:13" x14ac:dyDescent="0.25">
      <c r="B286" s="144" t="s">
        <v>874</v>
      </c>
      <c r="C286" s="134">
        <v>43836</v>
      </c>
      <c r="D286" s="120"/>
      <c r="E286" s="123">
        <v>510</v>
      </c>
      <c r="F286" s="133"/>
      <c r="G286" s="127"/>
      <c r="H286" s="106"/>
      <c r="I286" s="136"/>
      <c r="J286" s="140">
        <f t="shared" si="19"/>
        <v>5171947</v>
      </c>
      <c r="K286" s="149" t="str">
        <f t="shared" si="16"/>
        <v>OK</v>
      </c>
      <c r="L286" s="151" t="str">
        <f t="shared" si="17"/>
        <v>January</v>
      </c>
      <c r="M286" s="152">
        <f t="shared" si="18"/>
        <v>2020</v>
      </c>
    </row>
    <row r="287" spans="2:13" x14ac:dyDescent="0.25">
      <c r="B287" s="144" t="s">
        <v>875</v>
      </c>
      <c r="C287" s="134">
        <v>43837</v>
      </c>
      <c r="D287" s="120"/>
      <c r="E287" s="123">
        <v>511</v>
      </c>
      <c r="F287" s="133"/>
      <c r="G287" s="127"/>
      <c r="H287" s="106"/>
      <c r="I287" s="136"/>
      <c r="J287" s="140">
        <f t="shared" si="19"/>
        <v>5171947</v>
      </c>
      <c r="K287" s="149" t="str">
        <f t="shared" si="16"/>
        <v>OK</v>
      </c>
      <c r="L287" s="151" t="str">
        <f t="shared" si="17"/>
        <v>January</v>
      </c>
      <c r="M287" s="152">
        <f t="shared" si="18"/>
        <v>2020</v>
      </c>
    </row>
    <row r="288" spans="2:13" x14ac:dyDescent="0.25">
      <c r="B288" s="144" t="s">
        <v>876</v>
      </c>
      <c r="C288" s="134">
        <v>43838</v>
      </c>
      <c r="D288" s="120"/>
      <c r="E288" s="123">
        <v>512</v>
      </c>
      <c r="F288" s="133"/>
      <c r="G288" s="127"/>
      <c r="H288" s="106"/>
      <c r="I288" s="136"/>
      <c r="J288" s="140">
        <f t="shared" si="19"/>
        <v>5171947</v>
      </c>
      <c r="K288" s="149" t="str">
        <f t="shared" si="16"/>
        <v>OK</v>
      </c>
      <c r="L288" s="151" t="str">
        <f t="shared" si="17"/>
        <v>January</v>
      </c>
      <c r="M288" s="152">
        <f t="shared" si="18"/>
        <v>2020</v>
      </c>
    </row>
    <row r="289" spans="2:13" x14ac:dyDescent="0.25">
      <c r="B289" s="144" t="s">
        <v>877</v>
      </c>
      <c r="C289" s="134">
        <v>43839</v>
      </c>
      <c r="D289" s="120"/>
      <c r="E289" s="123">
        <v>513</v>
      </c>
      <c r="F289" s="133"/>
      <c r="G289" s="127"/>
      <c r="H289" s="106"/>
      <c r="I289" s="136"/>
      <c r="J289" s="140">
        <f t="shared" si="19"/>
        <v>5171947</v>
      </c>
      <c r="K289" s="149" t="str">
        <f t="shared" si="16"/>
        <v>OK</v>
      </c>
      <c r="L289" s="151" t="str">
        <f t="shared" si="17"/>
        <v>January</v>
      </c>
      <c r="M289" s="152">
        <f t="shared" si="18"/>
        <v>2020</v>
      </c>
    </row>
    <row r="290" spans="2:13" x14ac:dyDescent="0.25">
      <c r="B290" s="144" t="s">
        <v>878</v>
      </c>
      <c r="C290" s="134">
        <v>43840</v>
      </c>
      <c r="D290" s="120"/>
      <c r="E290" s="123">
        <v>514</v>
      </c>
      <c r="F290" s="133"/>
      <c r="G290" s="127"/>
      <c r="H290" s="106"/>
      <c r="I290" s="136"/>
      <c r="J290" s="140">
        <f t="shared" si="19"/>
        <v>5171947</v>
      </c>
      <c r="K290" s="149" t="str">
        <f t="shared" si="16"/>
        <v>OK</v>
      </c>
      <c r="L290" s="151" t="str">
        <f t="shared" si="17"/>
        <v>January</v>
      </c>
      <c r="M290" s="152">
        <f t="shared" si="18"/>
        <v>2020</v>
      </c>
    </row>
    <row r="291" spans="2:13" x14ac:dyDescent="0.25">
      <c r="B291" s="144" t="s">
        <v>879</v>
      </c>
      <c r="C291" s="134">
        <v>43841</v>
      </c>
      <c r="D291" s="120"/>
      <c r="E291" s="123">
        <v>515</v>
      </c>
      <c r="F291" s="133"/>
      <c r="G291" s="127"/>
      <c r="H291" s="106"/>
      <c r="I291" s="136"/>
      <c r="J291" s="140">
        <f t="shared" si="19"/>
        <v>5171947</v>
      </c>
      <c r="K291" s="149" t="str">
        <f t="shared" si="16"/>
        <v>OK</v>
      </c>
      <c r="L291" s="151" t="str">
        <f t="shared" si="17"/>
        <v>January</v>
      </c>
      <c r="M291" s="152">
        <f t="shared" si="18"/>
        <v>2020</v>
      </c>
    </row>
    <row r="292" spans="2:13" x14ac:dyDescent="0.25">
      <c r="B292" s="144" t="s">
        <v>880</v>
      </c>
      <c r="C292" s="134">
        <v>43842</v>
      </c>
      <c r="D292" s="120"/>
      <c r="E292" s="123">
        <v>516</v>
      </c>
      <c r="F292" s="133"/>
      <c r="G292" s="127"/>
      <c r="H292" s="106"/>
      <c r="I292" s="136"/>
      <c r="J292" s="140">
        <f t="shared" si="19"/>
        <v>5171947</v>
      </c>
      <c r="K292" s="149" t="str">
        <f t="shared" si="16"/>
        <v>OK</v>
      </c>
      <c r="L292" s="151" t="str">
        <f t="shared" si="17"/>
        <v>January</v>
      </c>
      <c r="M292" s="152">
        <f t="shared" si="18"/>
        <v>2020</v>
      </c>
    </row>
    <row r="293" spans="2:13" x14ac:dyDescent="0.25">
      <c r="B293" s="144" t="s">
        <v>881</v>
      </c>
      <c r="C293" s="134">
        <v>43843</v>
      </c>
      <c r="D293" s="120"/>
      <c r="E293" s="123">
        <v>517</v>
      </c>
      <c r="F293" s="133"/>
      <c r="G293" s="127"/>
      <c r="H293" s="106"/>
      <c r="I293" s="136"/>
      <c r="J293" s="140">
        <f t="shared" si="19"/>
        <v>5171947</v>
      </c>
      <c r="K293" s="149" t="str">
        <f t="shared" si="16"/>
        <v>OK</v>
      </c>
      <c r="L293" s="151" t="str">
        <f t="shared" si="17"/>
        <v>January</v>
      </c>
      <c r="M293" s="152">
        <f t="shared" si="18"/>
        <v>2020</v>
      </c>
    </row>
    <row r="294" spans="2:13" x14ac:dyDescent="0.25">
      <c r="B294" s="144" t="s">
        <v>882</v>
      </c>
      <c r="C294" s="134">
        <v>43844</v>
      </c>
      <c r="D294" s="120"/>
      <c r="E294" s="123">
        <v>518</v>
      </c>
      <c r="F294" s="133"/>
      <c r="G294" s="127"/>
      <c r="H294" s="106"/>
      <c r="I294" s="136"/>
      <c r="J294" s="140">
        <f t="shared" si="19"/>
        <v>5171947</v>
      </c>
      <c r="K294" s="149" t="str">
        <f t="shared" si="16"/>
        <v>OK</v>
      </c>
      <c r="L294" s="151" t="str">
        <f t="shared" si="17"/>
        <v>January</v>
      </c>
      <c r="M294" s="152">
        <f t="shared" si="18"/>
        <v>2020</v>
      </c>
    </row>
    <row r="295" spans="2:13" x14ac:dyDescent="0.25">
      <c r="B295" s="144" t="s">
        <v>883</v>
      </c>
      <c r="C295" s="134">
        <v>43845</v>
      </c>
      <c r="D295" s="120"/>
      <c r="E295" s="123">
        <v>519</v>
      </c>
      <c r="F295" s="133"/>
      <c r="G295" s="127"/>
      <c r="H295" s="106"/>
      <c r="I295" s="136"/>
      <c r="J295" s="140">
        <f t="shared" si="19"/>
        <v>5171947</v>
      </c>
      <c r="K295" s="149" t="str">
        <f t="shared" si="16"/>
        <v>OK</v>
      </c>
      <c r="L295" s="151" t="str">
        <f t="shared" si="17"/>
        <v>January</v>
      </c>
      <c r="M295" s="152">
        <f t="shared" si="18"/>
        <v>2020</v>
      </c>
    </row>
    <row r="296" spans="2:13" x14ac:dyDescent="0.25">
      <c r="B296" s="144" t="s">
        <v>884</v>
      </c>
      <c r="C296" s="134">
        <v>43846</v>
      </c>
      <c r="D296" s="120"/>
      <c r="E296" s="123">
        <v>520</v>
      </c>
      <c r="F296" s="133"/>
      <c r="G296" s="127"/>
      <c r="H296" s="106"/>
      <c r="I296" s="136"/>
      <c r="J296" s="140">
        <f t="shared" si="19"/>
        <v>5171947</v>
      </c>
      <c r="K296" s="149" t="str">
        <f t="shared" si="16"/>
        <v>OK</v>
      </c>
      <c r="L296" s="151" t="str">
        <f t="shared" si="17"/>
        <v>January</v>
      </c>
      <c r="M296" s="152">
        <f t="shared" si="18"/>
        <v>2020</v>
      </c>
    </row>
    <row r="297" spans="2:13" x14ac:dyDescent="0.25">
      <c r="B297" s="144" t="s">
        <v>885</v>
      </c>
      <c r="C297" s="134">
        <v>43847</v>
      </c>
      <c r="D297" s="120"/>
      <c r="E297" s="123">
        <v>521</v>
      </c>
      <c r="F297" s="133"/>
      <c r="G297" s="127"/>
      <c r="H297" s="106"/>
      <c r="I297" s="136"/>
      <c r="J297" s="140">
        <f t="shared" si="19"/>
        <v>5171947</v>
      </c>
      <c r="K297" s="149" t="str">
        <f t="shared" si="16"/>
        <v>OK</v>
      </c>
      <c r="L297" s="151" t="str">
        <f t="shared" si="17"/>
        <v>January</v>
      </c>
      <c r="M297" s="152">
        <f t="shared" si="18"/>
        <v>2020</v>
      </c>
    </row>
    <row r="298" spans="2:13" x14ac:dyDescent="0.25">
      <c r="B298" s="144" t="s">
        <v>886</v>
      </c>
      <c r="C298" s="134">
        <v>43848</v>
      </c>
      <c r="D298" s="120"/>
      <c r="E298" s="123">
        <v>522</v>
      </c>
      <c r="F298" s="133"/>
      <c r="G298" s="127"/>
      <c r="H298" s="106"/>
      <c r="I298" s="136"/>
      <c r="J298" s="140">
        <f t="shared" si="19"/>
        <v>5171947</v>
      </c>
      <c r="K298" s="149" t="str">
        <f t="shared" si="16"/>
        <v>OK</v>
      </c>
      <c r="L298" s="151" t="str">
        <f t="shared" si="17"/>
        <v>January</v>
      </c>
      <c r="M298" s="152">
        <f t="shared" si="18"/>
        <v>2020</v>
      </c>
    </row>
    <row r="299" spans="2:13" x14ac:dyDescent="0.25">
      <c r="B299" s="144" t="s">
        <v>887</v>
      </c>
      <c r="C299" s="134">
        <v>43849</v>
      </c>
      <c r="D299" s="120"/>
      <c r="E299" s="123">
        <v>523</v>
      </c>
      <c r="F299" s="133"/>
      <c r="G299" s="127"/>
      <c r="H299" s="106"/>
      <c r="I299" s="136"/>
      <c r="J299" s="140">
        <f t="shared" si="19"/>
        <v>5171947</v>
      </c>
      <c r="K299" s="149" t="str">
        <f t="shared" si="16"/>
        <v>OK</v>
      </c>
      <c r="L299" s="151" t="str">
        <f t="shared" si="17"/>
        <v>January</v>
      </c>
      <c r="M299" s="152">
        <f t="shared" si="18"/>
        <v>2020</v>
      </c>
    </row>
    <row r="300" spans="2:13" x14ac:dyDescent="0.25">
      <c r="B300" s="144" t="s">
        <v>888</v>
      </c>
      <c r="C300" s="134">
        <v>43850</v>
      </c>
      <c r="D300" s="120"/>
      <c r="E300" s="123">
        <v>524</v>
      </c>
      <c r="F300" s="133"/>
      <c r="G300" s="127"/>
      <c r="H300" s="106"/>
      <c r="I300" s="136"/>
      <c r="J300" s="140">
        <f t="shared" si="19"/>
        <v>5171947</v>
      </c>
      <c r="K300" s="149" t="str">
        <f t="shared" si="16"/>
        <v>OK</v>
      </c>
      <c r="L300" s="151" t="str">
        <f t="shared" si="17"/>
        <v>January</v>
      </c>
      <c r="M300" s="152">
        <f t="shared" si="18"/>
        <v>2020</v>
      </c>
    </row>
    <row r="301" spans="2:13" x14ac:dyDescent="0.25">
      <c r="B301" s="144" t="s">
        <v>889</v>
      </c>
      <c r="C301" s="134">
        <v>43851</v>
      </c>
      <c r="D301" s="120"/>
      <c r="E301" s="123">
        <v>525</v>
      </c>
      <c r="F301" s="133"/>
      <c r="G301" s="127"/>
      <c r="H301" s="106"/>
      <c r="I301" s="136"/>
      <c r="J301" s="140">
        <f t="shared" si="19"/>
        <v>5171947</v>
      </c>
      <c r="K301" s="149" t="str">
        <f t="shared" si="16"/>
        <v>OK</v>
      </c>
      <c r="L301" s="151" t="str">
        <f t="shared" si="17"/>
        <v>January</v>
      </c>
      <c r="M301" s="152">
        <f t="shared" si="18"/>
        <v>2020</v>
      </c>
    </row>
    <row r="302" spans="2:13" x14ac:dyDescent="0.25">
      <c r="B302" s="144" t="s">
        <v>890</v>
      </c>
      <c r="C302" s="134">
        <v>43852</v>
      </c>
      <c r="D302" s="120"/>
      <c r="E302" s="123">
        <v>526</v>
      </c>
      <c r="F302" s="133"/>
      <c r="G302" s="127"/>
      <c r="H302" s="106"/>
      <c r="I302" s="136"/>
      <c r="J302" s="140">
        <f t="shared" si="19"/>
        <v>5171947</v>
      </c>
      <c r="K302" s="149" t="str">
        <f t="shared" si="16"/>
        <v>OK</v>
      </c>
      <c r="L302" s="151" t="str">
        <f t="shared" si="17"/>
        <v>January</v>
      </c>
      <c r="M302" s="152">
        <f t="shared" si="18"/>
        <v>2020</v>
      </c>
    </row>
    <row r="303" spans="2:13" x14ac:dyDescent="0.25">
      <c r="B303" s="144" t="s">
        <v>891</v>
      </c>
      <c r="C303" s="134">
        <v>43853</v>
      </c>
      <c r="D303" s="120"/>
      <c r="E303" s="123">
        <v>527</v>
      </c>
      <c r="F303" s="133"/>
      <c r="G303" s="127"/>
      <c r="H303" s="106"/>
      <c r="I303" s="136"/>
      <c r="J303" s="140">
        <f t="shared" si="19"/>
        <v>5171947</v>
      </c>
      <c r="K303" s="149" t="str">
        <f t="shared" si="16"/>
        <v>OK</v>
      </c>
      <c r="L303" s="151" t="str">
        <f t="shared" si="17"/>
        <v>January</v>
      </c>
      <c r="M303" s="152">
        <f t="shared" si="18"/>
        <v>2020</v>
      </c>
    </row>
    <row r="304" spans="2:13" x14ac:dyDescent="0.25">
      <c r="B304" s="144" t="s">
        <v>892</v>
      </c>
      <c r="C304" s="134">
        <v>43854</v>
      </c>
      <c r="D304" s="120"/>
      <c r="E304" s="123">
        <v>528</v>
      </c>
      <c r="F304" s="133"/>
      <c r="G304" s="127"/>
      <c r="H304" s="106"/>
      <c r="I304" s="136"/>
      <c r="J304" s="140">
        <f t="shared" si="19"/>
        <v>5171947</v>
      </c>
      <c r="K304" s="149" t="str">
        <f t="shared" si="16"/>
        <v>OK</v>
      </c>
      <c r="L304" s="151" t="str">
        <f t="shared" si="17"/>
        <v>January</v>
      </c>
      <c r="M304" s="152">
        <f t="shared" si="18"/>
        <v>2020</v>
      </c>
    </row>
    <row r="305" spans="2:13" x14ac:dyDescent="0.25">
      <c r="B305" s="144" t="s">
        <v>893</v>
      </c>
      <c r="C305" s="134">
        <v>43855</v>
      </c>
      <c r="D305" s="120"/>
      <c r="E305" s="123">
        <v>529</v>
      </c>
      <c r="F305" s="133"/>
      <c r="G305" s="127"/>
      <c r="H305" s="106"/>
      <c r="I305" s="136"/>
      <c r="J305" s="140">
        <f t="shared" si="19"/>
        <v>5171947</v>
      </c>
      <c r="K305" s="149" t="str">
        <f t="shared" si="16"/>
        <v>OK</v>
      </c>
      <c r="L305" s="151" t="str">
        <f t="shared" si="17"/>
        <v>January</v>
      </c>
      <c r="M305" s="152">
        <f t="shared" si="18"/>
        <v>2020</v>
      </c>
    </row>
    <row r="306" spans="2:13" x14ac:dyDescent="0.25">
      <c r="B306" s="144" t="s">
        <v>894</v>
      </c>
      <c r="C306" s="134">
        <v>43856</v>
      </c>
      <c r="D306" s="120"/>
      <c r="E306" s="123">
        <v>530</v>
      </c>
      <c r="F306" s="133"/>
      <c r="G306" s="127"/>
      <c r="H306" s="106"/>
      <c r="I306" s="136"/>
      <c r="J306" s="140">
        <f t="shared" si="19"/>
        <v>5171947</v>
      </c>
      <c r="K306" s="149" t="str">
        <f t="shared" si="16"/>
        <v>OK</v>
      </c>
      <c r="L306" s="151" t="str">
        <f t="shared" si="17"/>
        <v>January</v>
      </c>
      <c r="M306" s="152">
        <f t="shared" si="18"/>
        <v>2020</v>
      </c>
    </row>
    <row r="307" spans="2:13" x14ac:dyDescent="0.25">
      <c r="B307" s="144" t="s">
        <v>895</v>
      </c>
      <c r="C307" s="134">
        <v>43857</v>
      </c>
      <c r="D307" s="120"/>
      <c r="E307" s="123">
        <v>531</v>
      </c>
      <c r="F307" s="133"/>
      <c r="G307" s="127"/>
      <c r="H307" s="106"/>
      <c r="I307" s="136"/>
      <c r="J307" s="140">
        <f t="shared" si="19"/>
        <v>5171947</v>
      </c>
      <c r="K307" s="149" t="str">
        <f t="shared" si="16"/>
        <v>OK</v>
      </c>
      <c r="L307" s="151" t="str">
        <f t="shared" si="17"/>
        <v>January</v>
      </c>
      <c r="M307" s="152">
        <f t="shared" si="18"/>
        <v>2020</v>
      </c>
    </row>
    <row r="308" spans="2:13" x14ac:dyDescent="0.25">
      <c r="B308" s="144" t="s">
        <v>896</v>
      </c>
      <c r="C308" s="134">
        <v>43858</v>
      </c>
      <c r="D308" s="120"/>
      <c r="E308" s="123">
        <v>532</v>
      </c>
      <c r="F308" s="133"/>
      <c r="G308" s="127"/>
      <c r="H308" s="106"/>
      <c r="I308" s="136"/>
      <c r="J308" s="140">
        <f t="shared" si="19"/>
        <v>5171947</v>
      </c>
      <c r="K308" s="149" t="str">
        <f t="shared" si="16"/>
        <v>OK</v>
      </c>
      <c r="L308" s="151" t="str">
        <f t="shared" si="17"/>
        <v>January</v>
      </c>
      <c r="M308" s="152">
        <f t="shared" si="18"/>
        <v>2020</v>
      </c>
    </row>
    <row r="309" spans="2:13" x14ac:dyDescent="0.25">
      <c r="B309" s="144" t="s">
        <v>897</v>
      </c>
      <c r="C309" s="134">
        <v>43859</v>
      </c>
      <c r="D309" s="120"/>
      <c r="E309" s="123">
        <v>533</v>
      </c>
      <c r="F309" s="133"/>
      <c r="G309" s="127"/>
      <c r="H309" s="106"/>
      <c r="I309" s="136"/>
      <c r="J309" s="140">
        <f t="shared" si="19"/>
        <v>5171947</v>
      </c>
      <c r="K309" s="149" t="str">
        <f t="shared" si="16"/>
        <v>OK</v>
      </c>
      <c r="L309" s="151" t="str">
        <f t="shared" si="17"/>
        <v>January</v>
      </c>
      <c r="M309" s="152">
        <f t="shared" si="18"/>
        <v>2020</v>
      </c>
    </row>
    <row r="310" spans="2:13" x14ac:dyDescent="0.25">
      <c r="B310" s="144" t="s">
        <v>898</v>
      </c>
      <c r="C310" s="134">
        <v>43860</v>
      </c>
      <c r="D310" s="120"/>
      <c r="E310" s="123">
        <v>534</v>
      </c>
      <c r="F310" s="133"/>
      <c r="G310" s="127"/>
      <c r="H310" s="106"/>
      <c r="I310" s="136"/>
      <c r="J310" s="140">
        <f t="shared" si="19"/>
        <v>5171947</v>
      </c>
      <c r="K310" s="149" t="str">
        <f t="shared" si="16"/>
        <v>OK</v>
      </c>
      <c r="L310" s="151" t="str">
        <f t="shared" si="17"/>
        <v>January</v>
      </c>
      <c r="M310" s="152">
        <f t="shared" si="18"/>
        <v>2020</v>
      </c>
    </row>
    <row r="311" spans="2:13" x14ac:dyDescent="0.25">
      <c r="B311" s="144" t="s">
        <v>899</v>
      </c>
      <c r="C311" s="134">
        <v>43861</v>
      </c>
      <c r="D311" s="120"/>
      <c r="E311" s="123">
        <v>535</v>
      </c>
      <c r="F311" s="133"/>
      <c r="G311" s="127"/>
      <c r="H311" s="106"/>
      <c r="I311" s="136"/>
      <c r="J311" s="140">
        <f t="shared" si="19"/>
        <v>5171947</v>
      </c>
      <c r="K311" s="149" t="str">
        <f t="shared" si="16"/>
        <v>OK</v>
      </c>
      <c r="L311" s="151" t="str">
        <f t="shared" si="17"/>
        <v>January</v>
      </c>
      <c r="M311" s="152">
        <f t="shared" si="18"/>
        <v>2020</v>
      </c>
    </row>
    <row r="312" spans="2:13" x14ac:dyDescent="0.25">
      <c r="B312" s="144" t="s">
        <v>900</v>
      </c>
      <c r="C312" s="134">
        <v>43862</v>
      </c>
      <c r="D312" s="120"/>
      <c r="E312" s="123">
        <v>536</v>
      </c>
      <c r="F312" s="133"/>
      <c r="G312" s="127"/>
      <c r="H312" s="106"/>
      <c r="I312" s="136"/>
      <c r="J312" s="140">
        <f t="shared" si="19"/>
        <v>5171947</v>
      </c>
      <c r="K312" s="149" t="str">
        <f t="shared" si="16"/>
        <v>OK</v>
      </c>
      <c r="L312" s="151" t="str">
        <f t="shared" si="17"/>
        <v>February</v>
      </c>
      <c r="M312" s="152">
        <f t="shared" si="18"/>
        <v>2020</v>
      </c>
    </row>
    <row r="313" spans="2:13" x14ac:dyDescent="0.25">
      <c r="B313" s="144" t="s">
        <v>901</v>
      </c>
      <c r="C313" s="134">
        <v>43863</v>
      </c>
      <c r="D313" s="120"/>
      <c r="E313" s="123">
        <v>537</v>
      </c>
      <c r="F313" s="133"/>
      <c r="G313" s="127"/>
      <c r="H313" s="106"/>
      <c r="I313" s="136"/>
      <c r="J313" s="140">
        <f t="shared" si="19"/>
        <v>5171947</v>
      </c>
      <c r="K313" s="149" t="str">
        <f t="shared" si="16"/>
        <v>OK</v>
      </c>
      <c r="L313" s="151" t="str">
        <f t="shared" si="17"/>
        <v>February</v>
      </c>
      <c r="M313" s="152">
        <f t="shared" si="18"/>
        <v>2020</v>
      </c>
    </row>
    <row r="314" spans="2:13" x14ac:dyDescent="0.25">
      <c r="B314" s="144" t="s">
        <v>902</v>
      </c>
      <c r="C314" s="134">
        <v>43864</v>
      </c>
      <c r="D314" s="120"/>
      <c r="E314" s="123">
        <v>538</v>
      </c>
      <c r="F314" s="133"/>
      <c r="G314" s="127"/>
      <c r="H314" s="106"/>
      <c r="I314" s="136"/>
      <c r="J314" s="140">
        <f t="shared" si="19"/>
        <v>5171947</v>
      </c>
      <c r="K314" s="149" t="str">
        <f t="shared" si="16"/>
        <v>OK</v>
      </c>
      <c r="L314" s="151" t="str">
        <f t="shared" si="17"/>
        <v>February</v>
      </c>
      <c r="M314" s="152">
        <f t="shared" si="18"/>
        <v>2020</v>
      </c>
    </row>
    <row r="315" spans="2:13" x14ac:dyDescent="0.25">
      <c r="B315" s="144" t="s">
        <v>903</v>
      </c>
      <c r="C315" s="134">
        <v>43865</v>
      </c>
      <c r="D315" s="120"/>
      <c r="E315" s="123">
        <v>539</v>
      </c>
      <c r="F315" s="133"/>
      <c r="G315" s="127"/>
      <c r="H315" s="106"/>
      <c r="I315" s="136"/>
      <c r="J315" s="140">
        <f t="shared" si="19"/>
        <v>5171947</v>
      </c>
      <c r="K315" s="149" t="str">
        <f t="shared" si="16"/>
        <v>OK</v>
      </c>
      <c r="L315" s="151" t="str">
        <f t="shared" si="17"/>
        <v>February</v>
      </c>
      <c r="M315" s="152">
        <f t="shared" si="18"/>
        <v>2020</v>
      </c>
    </row>
    <row r="316" spans="2:13" x14ac:dyDescent="0.25">
      <c r="B316" s="144" t="s">
        <v>904</v>
      </c>
      <c r="C316" s="134">
        <v>43866</v>
      </c>
      <c r="D316" s="120"/>
      <c r="E316" s="123">
        <v>540</v>
      </c>
      <c r="F316" s="133"/>
      <c r="G316" s="127"/>
      <c r="H316" s="106"/>
      <c r="I316" s="136"/>
      <c r="J316" s="140">
        <f t="shared" si="19"/>
        <v>5171947</v>
      </c>
      <c r="K316" s="149" t="str">
        <f t="shared" si="16"/>
        <v>OK</v>
      </c>
      <c r="L316" s="151" t="str">
        <f t="shared" si="17"/>
        <v>February</v>
      </c>
      <c r="M316" s="152">
        <f t="shared" si="18"/>
        <v>2020</v>
      </c>
    </row>
    <row r="317" spans="2:13" x14ac:dyDescent="0.25">
      <c r="B317" s="144" t="s">
        <v>905</v>
      </c>
      <c r="C317" s="134">
        <v>43867</v>
      </c>
      <c r="D317" s="120"/>
      <c r="E317" s="123">
        <v>541</v>
      </c>
      <c r="F317" s="133"/>
      <c r="G317" s="127"/>
      <c r="H317" s="106"/>
      <c r="I317" s="136"/>
      <c r="J317" s="140">
        <f t="shared" si="19"/>
        <v>5171947</v>
      </c>
      <c r="K317" s="149" t="str">
        <f t="shared" si="16"/>
        <v>OK</v>
      </c>
      <c r="L317" s="151" t="str">
        <f t="shared" si="17"/>
        <v>February</v>
      </c>
      <c r="M317" s="152">
        <f t="shared" si="18"/>
        <v>2020</v>
      </c>
    </row>
    <row r="318" spans="2:13" x14ac:dyDescent="0.25">
      <c r="B318" s="144" t="s">
        <v>906</v>
      </c>
      <c r="C318" s="134">
        <v>43868</v>
      </c>
      <c r="D318" s="120"/>
      <c r="E318" s="123">
        <v>542</v>
      </c>
      <c r="F318" s="133"/>
      <c r="G318" s="127"/>
      <c r="H318" s="106"/>
      <c r="I318" s="136"/>
      <c r="J318" s="140">
        <f t="shared" si="19"/>
        <v>5171947</v>
      </c>
      <c r="K318" s="149" t="str">
        <f t="shared" si="16"/>
        <v>OK</v>
      </c>
      <c r="L318" s="151" t="str">
        <f t="shared" si="17"/>
        <v>February</v>
      </c>
      <c r="M318" s="152">
        <f t="shared" si="18"/>
        <v>2020</v>
      </c>
    </row>
    <row r="319" spans="2:13" x14ac:dyDescent="0.25">
      <c r="B319" s="144" t="s">
        <v>907</v>
      </c>
      <c r="C319" s="134">
        <v>43869</v>
      </c>
      <c r="D319" s="120"/>
      <c r="E319" s="123">
        <v>543</v>
      </c>
      <c r="F319" s="133"/>
      <c r="G319" s="127"/>
      <c r="H319" s="106"/>
      <c r="I319" s="136"/>
      <c r="J319" s="140">
        <f t="shared" si="19"/>
        <v>5171947</v>
      </c>
      <c r="K319" s="149" t="str">
        <f t="shared" si="16"/>
        <v>OK</v>
      </c>
      <c r="L319" s="151" t="str">
        <f t="shared" si="17"/>
        <v>February</v>
      </c>
      <c r="M319" s="152">
        <f t="shared" si="18"/>
        <v>2020</v>
      </c>
    </row>
    <row r="320" spans="2:13" x14ac:dyDescent="0.25">
      <c r="B320" s="144" t="s">
        <v>908</v>
      </c>
      <c r="C320" s="134">
        <v>43870</v>
      </c>
      <c r="D320" s="120"/>
      <c r="E320" s="123">
        <v>544</v>
      </c>
      <c r="F320" s="133"/>
      <c r="G320" s="127"/>
      <c r="H320" s="106"/>
      <c r="I320" s="136"/>
      <c r="J320" s="140">
        <f t="shared" si="19"/>
        <v>5171947</v>
      </c>
      <c r="K320" s="149" t="str">
        <f t="shared" si="16"/>
        <v>OK</v>
      </c>
      <c r="L320" s="151" t="str">
        <f t="shared" si="17"/>
        <v>February</v>
      </c>
      <c r="M320" s="152">
        <f t="shared" si="18"/>
        <v>2020</v>
      </c>
    </row>
    <row r="321" spans="2:13" x14ac:dyDescent="0.25">
      <c r="B321" s="144" t="s">
        <v>909</v>
      </c>
      <c r="C321" s="134">
        <v>43871</v>
      </c>
      <c r="D321" s="120"/>
      <c r="E321" s="123">
        <v>545</v>
      </c>
      <c r="F321" s="133"/>
      <c r="G321" s="127"/>
      <c r="H321" s="106"/>
      <c r="I321" s="136"/>
      <c r="J321" s="140">
        <f t="shared" si="19"/>
        <v>5171947</v>
      </c>
      <c r="K321" s="149" t="str">
        <f t="shared" si="16"/>
        <v>OK</v>
      </c>
      <c r="L321" s="151" t="str">
        <f t="shared" si="17"/>
        <v>February</v>
      </c>
      <c r="M321" s="152">
        <f t="shared" si="18"/>
        <v>2020</v>
      </c>
    </row>
    <row r="322" spans="2:13" x14ac:dyDescent="0.25">
      <c r="B322" s="144" t="s">
        <v>910</v>
      </c>
      <c r="C322" s="134">
        <v>43872</v>
      </c>
      <c r="D322" s="120"/>
      <c r="E322" s="123">
        <v>546</v>
      </c>
      <c r="F322" s="133"/>
      <c r="G322" s="127"/>
      <c r="H322" s="106"/>
      <c r="I322" s="136"/>
      <c r="J322" s="140">
        <f t="shared" si="19"/>
        <v>5171947</v>
      </c>
      <c r="K322" s="149" t="str">
        <f t="shared" si="16"/>
        <v>OK</v>
      </c>
      <c r="L322" s="151" t="str">
        <f t="shared" si="17"/>
        <v>February</v>
      </c>
      <c r="M322" s="152">
        <f t="shared" si="18"/>
        <v>2020</v>
      </c>
    </row>
    <row r="323" spans="2:13" x14ac:dyDescent="0.25">
      <c r="B323" s="144" t="s">
        <v>911</v>
      </c>
      <c r="C323" s="134">
        <v>43873</v>
      </c>
      <c r="D323" s="120"/>
      <c r="E323" s="123">
        <v>547</v>
      </c>
      <c r="F323" s="133"/>
      <c r="G323" s="127"/>
      <c r="H323" s="106"/>
      <c r="I323" s="136"/>
      <c r="J323" s="140">
        <f t="shared" si="19"/>
        <v>5171947</v>
      </c>
      <c r="K323" s="149" t="str">
        <f t="shared" si="16"/>
        <v>OK</v>
      </c>
      <c r="L323" s="151" t="str">
        <f t="shared" si="17"/>
        <v>February</v>
      </c>
      <c r="M323" s="152">
        <f t="shared" si="18"/>
        <v>2020</v>
      </c>
    </row>
    <row r="324" spans="2:13" x14ac:dyDescent="0.25">
      <c r="B324" s="144" t="s">
        <v>912</v>
      </c>
      <c r="C324" s="134">
        <v>43874</v>
      </c>
      <c r="D324" s="120"/>
      <c r="E324" s="123">
        <v>548</v>
      </c>
      <c r="F324" s="133"/>
      <c r="G324" s="127"/>
      <c r="H324" s="106"/>
      <c r="I324" s="136"/>
      <c r="J324" s="140">
        <f t="shared" si="19"/>
        <v>5171947</v>
      </c>
      <c r="K324" s="149" t="str">
        <f t="shared" si="16"/>
        <v>OK</v>
      </c>
      <c r="L324" s="151" t="str">
        <f t="shared" si="17"/>
        <v>February</v>
      </c>
      <c r="M324" s="152">
        <f t="shared" si="18"/>
        <v>2020</v>
      </c>
    </row>
    <row r="325" spans="2:13" x14ac:dyDescent="0.25">
      <c r="B325" s="144" t="s">
        <v>913</v>
      </c>
      <c r="C325" s="134">
        <v>43875</v>
      </c>
      <c r="D325" s="120"/>
      <c r="E325" s="123">
        <v>549</v>
      </c>
      <c r="F325" s="133"/>
      <c r="G325" s="127"/>
      <c r="H325" s="106"/>
      <c r="I325" s="136"/>
      <c r="J325" s="140">
        <f t="shared" si="19"/>
        <v>5171947</v>
      </c>
      <c r="K325" s="149" t="str">
        <f t="shared" si="16"/>
        <v>OK</v>
      </c>
      <c r="L325" s="151" t="str">
        <f t="shared" si="17"/>
        <v>February</v>
      </c>
      <c r="M325" s="152">
        <f t="shared" si="18"/>
        <v>2020</v>
      </c>
    </row>
    <row r="326" spans="2:13" x14ac:dyDescent="0.25">
      <c r="B326" s="144" t="s">
        <v>914</v>
      </c>
      <c r="C326" s="134">
        <v>43876</v>
      </c>
      <c r="D326" s="120"/>
      <c r="E326" s="123">
        <v>550</v>
      </c>
      <c r="F326" s="133"/>
      <c r="G326" s="127"/>
      <c r="H326" s="106"/>
      <c r="I326" s="136"/>
      <c r="J326" s="140">
        <f t="shared" si="19"/>
        <v>5171947</v>
      </c>
      <c r="K326" s="149" t="str">
        <f t="shared" si="16"/>
        <v>OK</v>
      </c>
      <c r="L326" s="151" t="str">
        <f t="shared" si="17"/>
        <v>February</v>
      </c>
      <c r="M326" s="152">
        <f t="shared" si="18"/>
        <v>2020</v>
      </c>
    </row>
    <row r="327" spans="2:13" x14ac:dyDescent="0.25">
      <c r="B327" s="144" t="s">
        <v>915</v>
      </c>
      <c r="C327" s="134">
        <v>43877</v>
      </c>
      <c r="D327" s="120"/>
      <c r="E327" s="123">
        <v>551</v>
      </c>
      <c r="F327" s="133"/>
      <c r="G327" s="127"/>
      <c r="H327" s="106"/>
      <c r="I327" s="136"/>
      <c r="J327" s="140">
        <f t="shared" si="19"/>
        <v>5171947</v>
      </c>
      <c r="K327" s="149" t="str">
        <f t="shared" si="16"/>
        <v>OK</v>
      </c>
      <c r="L327" s="151" t="str">
        <f t="shared" si="17"/>
        <v>February</v>
      </c>
      <c r="M327" s="152">
        <f t="shared" si="18"/>
        <v>2020</v>
      </c>
    </row>
    <row r="328" spans="2:13" x14ac:dyDescent="0.25">
      <c r="B328" s="144" t="s">
        <v>916</v>
      </c>
      <c r="C328" s="134">
        <v>43878</v>
      </c>
      <c r="D328" s="120"/>
      <c r="E328" s="123">
        <v>552</v>
      </c>
      <c r="F328" s="133"/>
      <c r="G328" s="127"/>
      <c r="H328" s="106"/>
      <c r="I328" s="136"/>
      <c r="J328" s="140">
        <f t="shared" si="19"/>
        <v>5171947</v>
      </c>
      <c r="K328" s="149" t="str">
        <f t="shared" si="16"/>
        <v>OK</v>
      </c>
      <c r="L328" s="151" t="str">
        <f t="shared" si="17"/>
        <v>February</v>
      </c>
      <c r="M328" s="152">
        <f t="shared" si="18"/>
        <v>2020</v>
      </c>
    </row>
    <row r="329" spans="2:13" x14ac:dyDescent="0.25">
      <c r="B329" s="144" t="s">
        <v>917</v>
      </c>
      <c r="C329" s="134">
        <v>43879</v>
      </c>
      <c r="D329" s="120"/>
      <c r="E329" s="123">
        <v>553</v>
      </c>
      <c r="F329" s="133"/>
      <c r="G329" s="127"/>
      <c r="H329" s="106"/>
      <c r="I329" s="136"/>
      <c r="J329" s="140">
        <f t="shared" si="19"/>
        <v>5171947</v>
      </c>
      <c r="K329" s="149" t="str">
        <f t="shared" si="16"/>
        <v>OK</v>
      </c>
      <c r="L329" s="151" t="str">
        <f t="shared" si="17"/>
        <v>February</v>
      </c>
      <c r="M329" s="152">
        <f t="shared" si="18"/>
        <v>2020</v>
      </c>
    </row>
    <row r="330" spans="2:13" x14ac:dyDescent="0.25">
      <c r="B330" s="144" t="s">
        <v>918</v>
      </c>
      <c r="C330" s="134">
        <v>43880</v>
      </c>
      <c r="D330" s="120"/>
      <c r="E330" s="123">
        <v>554</v>
      </c>
      <c r="F330" s="133"/>
      <c r="G330" s="127"/>
      <c r="H330" s="106"/>
      <c r="I330" s="136"/>
      <c r="J330" s="140">
        <f t="shared" si="19"/>
        <v>5171947</v>
      </c>
      <c r="K330" s="149" t="str">
        <f t="shared" si="16"/>
        <v>OK</v>
      </c>
      <c r="L330" s="151" t="str">
        <f t="shared" si="17"/>
        <v>February</v>
      </c>
      <c r="M330" s="152">
        <f t="shared" si="18"/>
        <v>2020</v>
      </c>
    </row>
    <row r="331" spans="2:13" x14ac:dyDescent="0.25">
      <c r="B331" s="144" t="s">
        <v>919</v>
      </c>
      <c r="C331" s="134">
        <v>43881</v>
      </c>
      <c r="D331" s="120"/>
      <c r="E331" s="123">
        <v>555</v>
      </c>
      <c r="F331" s="133"/>
      <c r="G331" s="127"/>
      <c r="H331" s="106"/>
      <c r="I331" s="136"/>
      <c r="J331" s="140">
        <f t="shared" si="19"/>
        <v>5171947</v>
      </c>
      <c r="K331" s="149" t="str">
        <f t="shared" ref="K331:K394" si="20">IF(AND(F331&lt;&gt;"",G331&lt;&gt;""),"ERROR","OK")</f>
        <v>OK</v>
      </c>
      <c r="L331" s="151" t="str">
        <f t="shared" ref="L331:L394" si="21">TEXT(C331,"mmmm")</f>
        <v>February</v>
      </c>
      <c r="M331" s="152">
        <f t="shared" ref="M331:M394" si="22">YEAR(C331)</f>
        <v>2020</v>
      </c>
    </row>
    <row r="332" spans="2:13" x14ac:dyDescent="0.25">
      <c r="B332" s="144" t="s">
        <v>920</v>
      </c>
      <c r="C332" s="134">
        <v>43882</v>
      </c>
      <c r="D332" s="120"/>
      <c r="E332" s="123">
        <v>556</v>
      </c>
      <c r="F332" s="133"/>
      <c r="G332" s="127"/>
      <c r="H332" s="106"/>
      <c r="I332" s="136"/>
      <c r="J332" s="140">
        <f t="shared" ref="J332:J395" si="23">($J331+$F332)-$G332</f>
        <v>5171947</v>
      </c>
      <c r="K332" s="149" t="str">
        <f t="shared" si="20"/>
        <v>OK</v>
      </c>
      <c r="L332" s="151" t="str">
        <f t="shared" si="21"/>
        <v>February</v>
      </c>
      <c r="M332" s="152">
        <f t="shared" si="22"/>
        <v>2020</v>
      </c>
    </row>
    <row r="333" spans="2:13" x14ac:dyDescent="0.25">
      <c r="B333" s="144" t="s">
        <v>921</v>
      </c>
      <c r="C333" s="134">
        <v>43883</v>
      </c>
      <c r="D333" s="120"/>
      <c r="E333" s="123">
        <v>557</v>
      </c>
      <c r="F333" s="133"/>
      <c r="G333" s="127"/>
      <c r="H333" s="106"/>
      <c r="I333" s="136"/>
      <c r="J333" s="140">
        <f t="shared" si="23"/>
        <v>5171947</v>
      </c>
      <c r="K333" s="149" t="str">
        <f t="shared" si="20"/>
        <v>OK</v>
      </c>
      <c r="L333" s="151" t="str">
        <f t="shared" si="21"/>
        <v>February</v>
      </c>
      <c r="M333" s="152">
        <f t="shared" si="22"/>
        <v>2020</v>
      </c>
    </row>
    <row r="334" spans="2:13" x14ac:dyDescent="0.25">
      <c r="B334" s="144" t="s">
        <v>922</v>
      </c>
      <c r="C334" s="134">
        <v>43884</v>
      </c>
      <c r="D334" s="120"/>
      <c r="E334" s="123">
        <v>558</v>
      </c>
      <c r="F334" s="133"/>
      <c r="G334" s="127"/>
      <c r="H334" s="106"/>
      <c r="I334" s="136"/>
      <c r="J334" s="140">
        <f t="shared" si="23"/>
        <v>5171947</v>
      </c>
      <c r="K334" s="149" t="str">
        <f t="shared" si="20"/>
        <v>OK</v>
      </c>
      <c r="L334" s="151" t="str">
        <f t="shared" si="21"/>
        <v>February</v>
      </c>
      <c r="M334" s="152">
        <f t="shared" si="22"/>
        <v>2020</v>
      </c>
    </row>
    <row r="335" spans="2:13" x14ac:dyDescent="0.25">
      <c r="B335" s="144" t="s">
        <v>923</v>
      </c>
      <c r="C335" s="134">
        <v>43885</v>
      </c>
      <c r="D335" s="120"/>
      <c r="E335" s="123">
        <v>559</v>
      </c>
      <c r="F335" s="133"/>
      <c r="G335" s="127"/>
      <c r="H335" s="106"/>
      <c r="I335" s="136"/>
      <c r="J335" s="140">
        <f t="shared" si="23"/>
        <v>5171947</v>
      </c>
      <c r="K335" s="149" t="str">
        <f t="shared" si="20"/>
        <v>OK</v>
      </c>
      <c r="L335" s="151" t="str">
        <f t="shared" si="21"/>
        <v>February</v>
      </c>
      <c r="M335" s="152">
        <f t="shared" si="22"/>
        <v>2020</v>
      </c>
    </row>
    <row r="336" spans="2:13" x14ac:dyDescent="0.25">
      <c r="B336" s="144" t="s">
        <v>924</v>
      </c>
      <c r="C336" s="134">
        <v>43886</v>
      </c>
      <c r="D336" s="120"/>
      <c r="E336" s="123">
        <v>560</v>
      </c>
      <c r="F336" s="133"/>
      <c r="G336" s="127"/>
      <c r="H336" s="106"/>
      <c r="I336" s="136"/>
      <c r="J336" s="140">
        <f t="shared" si="23"/>
        <v>5171947</v>
      </c>
      <c r="K336" s="149" t="str">
        <f t="shared" si="20"/>
        <v>OK</v>
      </c>
      <c r="L336" s="151" t="str">
        <f t="shared" si="21"/>
        <v>February</v>
      </c>
      <c r="M336" s="152">
        <f t="shared" si="22"/>
        <v>2020</v>
      </c>
    </row>
    <row r="337" spans="2:13" x14ac:dyDescent="0.25">
      <c r="B337" s="144" t="s">
        <v>925</v>
      </c>
      <c r="C337" s="134">
        <v>43887</v>
      </c>
      <c r="D337" s="120"/>
      <c r="E337" s="123">
        <v>561</v>
      </c>
      <c r="F337" s="133"/>
      <c r="G337" s="127"/>
      <c r="H337" s="106"/>
      <c r="I337" s="136"/>
      <c r="J337" s="140">
        <f t="shared" si="23"/>
        <v>5171947</v>
      </c>
      <c r="K337" s="149" t="str">
        <f t="shared" si="20"/>
        <v>OK</v>
      </c>
      <c r="L337" s="151" t="str">
        <f t="shared" si="21"/>
        <v>February</v>
      </c>
      <c r="M337" s="152">
        <f t="shared" si="22"/>
        <v>2020</v>
      </c>
    </row>
    <row r="338" spans="2:13" x14ac:dyDescent="0.25">
      <c r="B338" s="144" t="s">
        <v>926</v>
      </c>
      <c r="C338" s="134">
        <v>43888</v>
      </c>
      <c r="D338" s="120"/>
      <c r="E338" s="123">
        <v>562</v>
      </c>
      <c r="F338" s="133"/>
      <c r="G338" s="127"/>
      <c r="H338" s="106"/>
      <c r="I338" s="136"/>
      <c r="J338" s="140">
        <f t="shared" si="23"/>
        <v>5171947</v>
      </c>
      <c r="K338" s="149" t="str">
        <f t="shared" si="20"/>
        <v>OK</v>
      </c>
      <c r="L338" s="151" t="str">
        <f t="shared" si="21"/>
        <v>February</v>
      </c>
      <c r="M338" s="152">
        <f t="shared" si="22"/>
        <v>2020</v>
      </c>
    </row>
    <row r="339" spans="2:13" x14ac:dyDescent="0.25">
      <c r="B339" s="144" t="s">
        <v>927</v>
      </c>
      <c r="C339" s="134">
        <v>43889</v>
      </c>
      <c r="D339" s="120"/>
      <c r="E339" s="123">
        <v>563</v>
      </c>
      <c r="F339" s="133"/>
      <c r="G339" s="127"/>
      <c r="H339" s="106"/>
      <c r="I339" s="136"/>
      <c r="J339" s="140">
        <f t="shared" si="23"/>
        <v>5171947</v>
      </c>
      <c r="K339" s="149" t="str">
        <f t="shared" si="20"/>
        <v>OK</v>
      </c>
      <c r="L339" s="151" t="str">
        <f t="shared" si="21"/>
        <v>February</v>
      </c>
      <c r="M339" s="152">
        <f t="shared" si="22"/>
        <v>2020</v>
      </c>
    </row>
    <row r="340" spans="2:13" x14ac:dyDescent="0.25">
      <c r="B340" s="144" t="s">
        <v>928</v>
      </c>
      <c r="C340" s="134">
        <v>43890</v>
      </c>
      <c r="D340" s="120"/>
      <c r="E340" s="123">
        <v>564</v>
      </c>
      <c r="F340" s="133"/>
      <c r="G340" s="127"/>
      <c r="H340" s="106"/>
      <c r="I340" s="136"/>
      <c r="J340" s="140">
        <f t="shared" si="23"/>
        <v>5171947</v>
      </c>
      <c r="K340" s="149" t="str">
        <f t="shared" si="20"/>
        <v>OK</v>
      </c>
      <c r="L340" s="151" t="str">
        <f t="shared" si="21"/>
        <v>February</v>
      </c>
      <c r="M340" s="152">
        <f t="shared" si="22"/>
        <v>2020</v>
      </c>
    </row>
    <row r="341" spans="2:13" x14ac:dyDescent="0.25">
      <c r="B341" s="144" t="s">
        <v>929</v>
      </c>
      <c r="C341" s="134">
        <v>43891</v>
      </c>
      <c r="D341" s="120"/>
      <c r="E341" s="123">
        <v>565</v>
      </c>
      <c r="F341" s="133"/>
      <c r="G341" s="127"/>
      <c r="H341" s="106"/>
      <c r="I341" s="136"/>
      <c r="J341" s="140">
        <f t="shared" si="23"/>
        <v>5171947</v>
      </c>
      <c r="K341" s="149" t="str">
        <f t="shared" si="20"/>
        <v>OK</v>
      </c>
      <c r="L341" s="151" t="str">
        <f t="shared" si="21"/>
        <v>March</v>
      </c>
      <c r="M341" s="152">
        <f t="shared" si="22"/>
        <v>2020</v>
      </c>
    </row>
    <row r="342" spans="2:13" x14ac:dyDescent="0.25">
      <c r="B342" s="144" t="s">
        <v>930</v>
      </c>
      <c r="C342" s="134">
        <v>43892</v>
      </c>
      <c r="D342" s="120"/>
      <c r="E342" s="123">
        <v>566</v>
      </c>
      <c r="F342" s="133"/>
      <c r="G342" s="127"/>
      <c r="H342" s="106"/>
      <c r="I342" s="136"/>
      <c r="J342" s="140">
        <f t="shared" si="23"/>
        <v>5171947</v>
      </c>
      <c r="K342" s="149" t="str">
        <f t="shared" si="20"/>
        <v>OK</v>
      </c>
      <c r="L342" s="151" t="str">
        <f t="shared" si="21"/>
        <v>March</v>
      </c>
      <c r="M342" s="152">
        <f t="shared" si="22"/>
        <v>2020</v>
      </c>
    </row>
    <row r="343" spans="2:13" x14ac:dyDescent="0.25">
      <c r="B343" s="144" t="s">
        <v>931</v>
      </c>
      <c r="C343" s="134">
        <v>43893</v>
      </c>
      <c r="D343" s="120"/>
      <c r="E343" s="123">
        <v>567</v>
      </c>
      <c r="F343" s="133"/>
      <c r="G343" s="127"/>
      <c r="H343" s="106"/>
      <c r="I343" s="136"/>
      <c r="J343" s="140">
        <f t="shared" si="23"/>
        <v>5171947</v>
      </c>
      <c r="K343" s="149" t="str">
        <f t="shared" si="20"/>
        <v>OK</v>
      </c>
      <c r="L343" s="151" t="str">
        <f t="shared" si="21"/>
        <v>March</v>
      </c>
      <c r="M343" s="152">
        <f t="shared" si="22"/>
        <v>2020</v>
      </c>
    </row>
    <row r="344" spans="2:13" x14ac:dyDescent="0.25">
      <c r="B344" s="144" t="s">
        <v>932</v>
      </c>
      <c r="C344" s="134">
        <v>43894</v>
      </c>
      <c r="D344" s="120"/>
      <c r="E344" s="123">
        <v>568</v>
      </c>
      <c r="F344" s="133"/>
      <c r="G344" s="127"/>
      <c r="H344" s="106"/>
      <c r="I344" s="136"/>
      <c r="J344" s="140">
        <f t="shared" si="23"/>
        <v>5171947</v>
      </c>
      <c r="K344" s="149" t="str">
        <f t="shared" si="20"/>
        <v>OK</v>
      </c>
      <c r="L344" s="151" t="str">
        <f t="shared" si="21"/>
        <v>March</v>
      </c>
      <c r="M344" s="152">
        <f t="shared" si="22"/>
        <v>2020</v>
      </c>
    </row>
    <row r="345" spans="2:13" x14ac:dyDescent="0.25">
      <c r="B345" s="144" t="s">
        <v>933</v>
      </c>
      <c r="C345" s="134">
        <v>43895</v>
      </c>
      <c r="D345" s="120"/>
      <c r="E345" s="123">
        <v>569</v>
      </c>
      <c r="F345" s="133"/>
      <c r="G345" s="127"/>
      <c r="H345" s="106"/>
      <c r="I345" s="136"/>
      <c r="J345" s="140">
        <f t="shared" si="23"/>
        <v>5171947</v>
      </c>
      <c r="K345" s="149" t="str">
        <f t="shared" si="20"/>
        <v>OK</v>
      </c>
      <c r="L345" s="151" t="str">
        <f t="shared" si="21"/>
        <v>March</v>
      </c>
      <c r="M345" s="152">
        <f t="shared" si="22"/>
        <v>2020</v>
      </c>
    </row>
    <row r="346" spans="2:13" x14ac:dyDescent="0.25">
      <c r="B346" s="144" t="s">
        <v>934</v>
      </c>
      <c r="C346" s="134">
        <v>43896</v>
      </c>
      <c r="D346" s="120"/>
      <c r="E346" s="123">
        <v>570</v>
      </c>
      <c r="F346" s="133"/>
      <c r="G346" s="127"/>
      <c r="H346" s="106"/>
      <c r="I346" s="136"/>
      <c r="J346" s="140">
        <f t="shared" si="23"/>
        <v>5171947</v>
      </c>
      <c r="K346" s="149" t="str">
        <f t="shared" si="20"/>
        <v>OK</v>
      </c>
      <c r="L346" s="151" t="str">
        <f t="shared" si="21"/>
        <v>March</v>
      </c>
      <c r="M346" s="152">
        <f t="shared" si="22"/>
        <v>2020</v>
      </c>
    </row>
    <row r="347" spans="2:13" x14ac:dyDescent="0.25">
      <c r="B347" s="144" t="s">
        <v>935</v>
      </c>
      <c r="C347" s="134">
        <v>43897</v>
      </c>
      <c r="D347" s="120"/>
      <c r="E347" s="123">
        <v>571</v>
      </c>
      <c r="F347" s="133"/>
      <c r="G347" s="127"/>
      <c r="H347" s="106"/>
      <c r="I347" s="136"/>
      <c r="J347" s="140">
        <f t="shared" si="23"/>
        <v>5171947</v>
      </c>
      <c r="K347" s="149" t="str">
        <f t="shared" si="20"/>
        <v>OK</v>
      </c>
      <c r="L347" s="151" t="str">
        <f t="shared" si="21"/>
        <v>March</v>
      </c>
      <c r="M347" s="152">
        <f t="shared" si="22"/>
        <v>2020</v>
      </c>
    </row>
    <row r="348" spans="2:13" x14ac:dyDescent="0.25">
      <c r="B348" s="144" t="s">
        <v>936</v>
      </c>
      <c r="C348" s="134">
        <v>43898</v>
      </c>
      <c r="D348" s="120"/>
      <c r="E348" s="123">
        <v>572</v>
      </c>
      <c r="F348" s="133"/>
      <c r="G348" s="127"/>
      <c r="H348" s="106"/>
      <c r="I348" s="136"/>
      <c r="J348" s="140">
        <f t="shared" si="23"/>
        <v>5171947</v>
      </c>
      <c r="K348" s="149" t="str">
        <f t="shared" si="20"/>
        <v>OK</v>
      </c>
      <c r="L348" s="151" t="str">
        <f t="shared" si="21"/>
        <v>March</v>
      </c>
      <c r="M348" s="152">
        <f t="shared" si="22"/>
        <v>2020</v>
      </c>
    </row>
    <row r="349" spans="2:13" x14ac:dyDescent="0.25">
      <c r="B349" s="144" t="s">
        <v>937</v>
      </c>
      <c r="C349" s="134">
        <v>43899</v>
      </c>
      <c r="D349" s="120"/>
      <c r="E349" s="123">
        <v>573</v>
      </c>
      <c r="F349" s="133"/>
      <c r="G349" s="127"/>
      <c r="H349" s="106"/>
      <c r="I349" s="136"/>
      <c r="J349" s="140">
        <f t="shared" si="23"/>
        <v>5171947</v>
      </c>
      <c r="K349" s="149" t="str">
        <f t="shared" si="20"/>
        <v>OK</v>
      </c>
      <c r="L349" s="151" t="str">
        <f t="shared" si="21"/>
        <v>March</v>
      </c>
      <c r="M349" s="152">
        <f t="shared" si="22"/>
        <v>2020</v>
      </c>
    </row>
    <row r="350" spans="2:13" x14ac:dyDescent="0.25">
      <c r="B350" s="144" t="s">
        <v>938</v>
      </c>
      <c r="C350" s="134">
        <v>43900</v>
      </c>
      <c r="D350" s="120"/>
      <c r="E350" s="123">
        <v>574</v>
      </c>
      <c r="F350" s="133"/>
      <c r="G350" s="127"/>
      <c r="H350" s="106"/>
      <c r="I350" s="136"/>
      <c r="J350" s="140">
        <f t="shared" si="23"/>
        <v>5171947</v>
      </c>
      <c r="K350" s="149" t="str">
        <f t="shared" si="20"/>
        <v>OK</v>
      </c>
      <c r="L350" s="151" t="str">
        <f t="shared" si="21"/>
        <v>March</v>
      </c>
      <c r="M350" s="152">
        <f t="shared" si="22"/>
        <v>2020</v>
      </c>
    </row>
    <row r="351" spans="2:13" x14ac:dyDescent="0.25">
      <c r="B351" s="144" t="s">
        <v>939</v>
      </c>
      <c r="C351" s="134">
        <v>43901</v>
      </c>
      <c r="D351" s="120"/>
      <c r="E351" s="123">
        <v>575</v>
      </c>
      <c r="F351" s="133"/>
      <c r="G351" s="127"/>
      <c r="H351" s="106"/>
      <c r="I351" s="136"/>
      <c r="J351" s="140">
        <f t="shared" si="23"/>
        <v>5171947</v>
      </c>
      <c r="K351" s="149" t="str">
        <f t="shared" si="20"/>
        <v>OK</v>
      </c>
      <c r="L351" s="151" t="str">
        <f t="shared" si="21"/>
        <v>March</v>
      </c>
      <c r="M351" s="152">
        <f t="shared" si="22"/>
        <v>2020</v>
      </c>
    </row>
    <row r="352" spans="2:13" x14ac:dyDescent="0.25">
      <c r="B352" s="144" t="s">
        <v>940</v>
      </c>
      <c r="C352" s="134">
        <v>43902</v>
      </c>
      <c r="D352" s="120"/>
      <c r="E352" s="123">
        <v>576</v>
      </c>
      <c r="F352" s="133"/>
      <c r="G352" s="127"/>
      <c r="H352" s="106"/>
      <c r="I352" s="136"/>
      <c r="J352" s="140">
        <f t="shared" si="23"/>
        <v>5171947</v>
      </c>
      <c r="K352" s="149" t="str">
        <f t="shared" si="20"/>
        <v>OK</v>
      </c>
      <c r="L352" s="151" t="str">
        <f t="shared" si="21"/>
        <v>March</v>
      </c>
      <c r="M352" s="152">
        <f t="shared" si="22"/>
        <v>2020</v>
      </c>
    </row>
    <row r="353" spans="2:13" x14ac:dyDescent="0.25">
      <c r="B353" s="144" t="s">
        <v>941</v>
      </c>
      <c r="C353" s="134">
        <v>43903</v>
      </c>
      <c r="D353" s="120"/>
      <c r="E353" s="123">
        <v>577</v>
      </c>
      <c r="F353" s="133"/>
      <c r="G353" s="127"/>
      <c r="H353" s="106"/>
      <c r="I353" s="136"/>
      <c r="J353" s="140">
        <f t="shared" si="23"/>
        <v>5171947</v>
      </c>
      <c r="K353" s="149" t="str">
        <f t="shared" si="20"/>
        <v>OK</v>
      </c>
      <c r="L353" s="151" t="str">
        <f t="shared" si="21"/>
        <v>March</v>
      </c>
      <c r="M353" s="152">
        <f t="shared" si="22"/>
        <v>2020</v>
      </c>
    </row>
    <row r="354" spans="2:13" x14ac:dyDescent="0.25">
      <c r="B354" s="144" t="s">
        <v>942</v>
      </c>
      <c r="C354" s="134">
        <v>43904</v>
      </c>
      <c r="D354" s="120"/>
      <c r="E354" s="123">
        <v>578</v>
      </c>
      <c r="F354" s="133"/>
      <c r="G354" s="127"/>
      <c r="H354" s="106"/>
      <c r="I354" s="136"/>
      <c r="J354" s="140">
        <f t="shared" si="23"/>
        <v>5171947</v>
      </c>
      <c r="K354" s="149" t="str">
        <f t="shared" si="20"/>
        <v>OK</v>
      </c>
      <c r="L354" s="151" t="str">
        <f t="shared" si="21"/>
        <v>March</v>
      </c>
      <c r="M354" s="152">
        <f t="shared" si="22"/>
        <v>2020</v>
      </c>
    </row>
    <row r="355" spans="2:13" x14ac:dyDescent="0.25">
      <c r="B355" s="144" t="s">
        <v>943</v>
      </c>
      <c r="C355" s="134">
        <v>43905</v>
      </c>
      <c r="D355" s="120"/>
      <c r="E355" s="123">
        <v>579</v>
      </c>
      <c r="F355" s="133"/>
      <c r="G355" s="127"/>
      <c r="H355" s="106"/>
      <c r="I355" s="136"/>
      <c r="J355" s="140">
        <f t="shared" si="23"/>
        <v>5171947</v>
      </c>
      <c r="K355" s="149" t="str">
        <f t="shared" si="20"/>
        <v>OK</v>
      </c>
      <c r="L355" s="151" t="str">
        <f t="shared" si="21"/>
        <v>March</v>
      </c>
      <c r="M355" s="152">
        <f t="shared" si="22"/>
        <v>2020</v>
      </c>
    </row>
    <row r="356" spans="2:13" x14ac:dyDescent="0.25">
      <c r="B356" s="144" t="s">
        <v>944</v>
      </c>
      <c r="C356" s="134">
        <v>43906</v>
      </c>
      <c r="D356" s="120"/>
      <c r="E356" s="123">
        <v>580</v>
      </c>
      <c r="F356" s="133"/>
      <c r="G356" s="127"/>
      <c r="H356" s="106"/>
      <c r="I356" s="136"/>
      <c r="J356" s="140">
        <f t="shared" si="23"/>
        <v>5171947</v>
      </c>
      <c r="K356" s="149" t="str">
        <f t="shared" si="20"/>
        <v>OK</v>
      </c>
      <c r="L356" s="151" t="str">
        <f t="shared" si="21"/>
        <v>March</v>
      </c>
      <c r="M356" s="152">
        <f t="shared" si="22"/>
        <v>2020</v>
      </c>
    </row>
    <row r="357" spans="2:13" x14ac:dyDescent="0.25">
      <c r="B357" s="144" t="s">
        <v>945</v>
      </c>
      <c r="C357" s="134">
        <v>43907</v>
      </c>
      <c r="D357" s="120"/>
      <c r="E357" s="123">
        <v>581</v>
      </c>
      <c r="F357" s="133"/>
      <c r="G357" s="127"/>
      <c r="H357" s="106"/>
      <c r="I357" s="136"/>
      <c r="J357" s="140">
        <f t="shared" si="23"/>
        <v>5171947</v>
      </c>
      <c r="K357" s="149" t="str">
        <f t="shared" si="20"/>
        <v>OK</v>
      </c>
      <c r="L357" s="151" t="str">
        <f t="shared" si="21"/>
        <v>March</v>
      </c>
      <c r="M357" s="152">
        <f t="shared" si="22"/>
        <v>2020</v>
      </c>
    </row>
    <row r="358" spans="2:13" x14ac:dyDescent="0.25">
      <c r="B358" s="144" t="s">
        <v>946</v>
      </c>
      <c r="C358" s="134">
        <v>43908</v>
      </c>
      <c r="D358" s="120"/>
      <c r="E358" s="123">
        <v>582</v>
      </c>
      <c r="F358" s="133"/>
      <c r="G358" s="127"/>
      <c r="H358" s="106"/>
      <c r="I358" s="136"/>
      <c r="J358" s="140">
        <f t="shared" si="23"/>
        <v>5171947</v>
      </c>
      <c r="K358" s="149" t="str">
        <f t="shared" si="20"/>
        <v>OK</v>
      </c>
      <c r="L358" s="151" t="str">
        <f t="shared" si="21"/>
        <v>March</v>
      </c>
      <c r="M358" s="152">
        <f t="shared" si="22"/>
        <v>2020</v>
      </c>
    </row>
    <row r="359" spans="2:13" x14ac:dyDescent="0.25">
      <c r="B359" s="144" t="s">
        <v>947</v>
      </c>
      <c r="C359" s="134">
        <v>43909</v>
      </c>
      <c r="D359" s="120"/>
      <c r="E359" s="123">
        <v>583</v>
      </c>
      <c r="F359" s="133"/>
      <c r="G359" s="127"/>
      <c r="H359" s="106"/>
      <c r="I359" s="136"/>
      <c r="J359" s="140">
        <f t="shared" si="23"/>
        <v>5171947</v>
      </c>
      <c r="K359" s="149" t="str">
        <f t="shared" si="20"/>
        <v>OK</v>
      </c>
      <c r="L359" s="151" t="str">
        <f t="shared" si="21"/>
        <v>March</v>
      </c>
      <c r="M359" s="152">
        <f t="shared" si="22"/>
        <v>2020</v>
      </c>
    </row>
    <row r="360" spans="2:13" x14ac:dyDescent="0.25">
      <c r="B360" s="144" t="s">
        <v>948</v>
      </c>
      <c r="C360" s="134">
        <v>43910</v>
      </c>
      <c r="D360" s="120"/>
      <c r="E360" s="123">
        <v>584</v>
      </c>
      <c r="F360" s="133"/>
      <c r="G360" s="127"/>
      <c r="H360" s="106"/>
      <c r="I360" s="136"/>
      <c r="J360" s="140">
        <f t="shared" si="23"/>
        <v>5171947</v>
      </c>
      <c r="K360" s="149" t="str">
        <f t="shared" si="20"/>
        <v>OK</v>
      </c>
      <c r="L360" s="151" t="str">
        <f t="shared" si="21"/>
        <v>March</v>
      </c>
      <c r="M360" s="152">
        <f t="shared" si="22"/>
        <v>2020</v>
      </c>
    </row>
    <row r="361" spans="2:13" x14ac:dyDescent="0.25">
      <c r="B361" s="144" t="s">
        <v>949</v>
      </c>
      <c r="C361" s="134">
        <v>43911</v>
      </c>
      <c r="D361" s="120"/>
      <c r="E361" s="123">
        <v>585</v>
      </c>
      <c r="F361" s="133"/>
      <c r="G361" s="127"/>
      <c r="H361" s="106"/>
      <c r="I361" s="136"/>
      <c r="J361" s="140">
        <f t="shared" si="23"/>
        <v>5171947</v>
      </c>
      <c r="K361" s="149" t="str">
        <f t="shared" si="20"/>
        <v>OK</v>
      </c>
      <c r="L361" s="151" t="str">
        <f t="shared" si="21"/>
        <v>March</v>
      </c>
      <c r="M361" s="152">
        <f t="shared" si="22"/>
        <v>2020</v>
      </c>
    </row>
    <row r="362" spans="2:13" x14ac:dyDescent="0.25">
      <c r="B362" s="144" t="s">
        <v>950</v>
      </c>
      <c r="C362" s="134">
        <v>43912</v>
      </c>
      <c r="D362" s="120"/>
      <c r="E362" s="123">
        <v>586</v>
      </c>
      <c r="F362" s="133"/>
      <c r="G362" s="127"/>
      <c r="H362" s="106"/>
      <c r="I362" s="136"/>
      <c r="J362" s="140">
        <f t="shared" si="23"/>
        <v>5171947</v>
      </c>
      <c r="K362" s="149" t="str">
        <f t="shared" si="20"/>
        <v>OK</v>
      </c>
      <c r="L362" s="151" t="str">
        <f t="shared" si="21"/>
        <v>March</v>
      </c>
      <c r="M362" s="152">
        <f t="shared" si="22"/>
        <v>2020</v>
      </c>
    </row>
    <row r="363" spans="2:13" x14ac:dyDescent="0.25">
      <c r="B363" s="144" t="s">
        <v>951</v>
      </c>
      <c r="C363" s="134">
        <v>43913</v>
      </c>
      <c r="D363" s="120"/>
      <c r="E363" s="123">
        <v>587</v>
      </c>
      <c r="F363" s="133"/>
      <c r="G363" s="127"/>
      <c r="H363" s="106"/>
      <c r="I363" s="136"/>
      <c r="J363" s="140">
        <f t="shared" si="23"/>
        <v>5171947</v>
      </c>
      <c r="K363" s="149" t="str">
        <f t="shared" si="20"/>
        <v>OK</v>
      </c>
      <c r="L363" s="151" t="str">
        <f t="shared" si="21"/>
        <v>March</v>
      </c>
      <c r="M363" s="152">
        <f t="shared" si="22"/>
        <v>2020</v>
      </c>
    </row>
    <row r="364" spans="2:13" x14ac:dyDescent="0.25">
      <c r="B364" s="144" t="s">
        <v>952</v>
      </c>
      <c r="C364" s="134">
        <v>43914</v>
      </c>
      <c r="D364" s="120"/>
      <c r="E364" s="123">
        <v>588</v>
      </c>
      <c r="F364" s="133"/>
      <c r="G364" s="127"/>
      <c r="H364" s="106"/>
      <c r="I364" s="136"/>
      <c r="J364" s="140">
        <f t="shared" si="23"/>
        <v>5171947</v>
      </c>
      <c r="K364" s="149" t="str">
        <f t="shared" si="20"/>
        <v>OK</v>
      </c>
      <c r="L364" s="151" t="str">
        <f t="shared" si="21"/>
        <v>March</v>
      </c>
      <c r="M364" s="152">
        <f t="shared" si="22"/>
        <v>2020</v>
      </c>
    </row>
    <row r="365" spans="2:13" x14ac:dyDescent="0.25">
      <c r="B365" s="144" t="s">
        <v>953</v>
      </c>
      <c r="C365" s="134">
        <v>43915</v>
      </c>
      <c r="D365" s="120"/>
      <c r="E365" s="123">
        <v>589</v>
      </c>
      <c r="F365" s="133"/>
      <c r="G365" s="127"/>
      <c r="H365" s="106"/>
      <c r="I365" s="136"/>
      <c r="J365" s="140">
        <f t="shared" si="23"/>
        <v>5171947</v>
      </c>
      <c r="K365" s="149" t="str">
        <f t="shared" si="20"/>
        <v>OK</v>
      </c>
      <c r="L365" s="151" t="str">
        <f t="shared" si="21"/>
        <v>March</v>
      </c>
      <c r="M365" s="152">
        <f t="shared" si="22"/>
        <v>2020</v>
      </c>
    </row>
    <row r="366" spans="2:13" x14ac:dyDescent="0.25">
      <c r="B366" s="144" t="s">
        <v>954</v>
      </c>
      <c r="C366" s="134">
        <v>43916</v>
      </c>
      <c r="D366" s="120"/>
      <c r="E366" s="123">
        <v>590</v>
      </c>
      <c r="F366" s="133"/>
      <c r="G366" s="127"/>
      <c r="H366" s="106"/>
      <c r="I366" s="136"/>
      <c r="J366" s="140">
        <f t="shared" si="23"/>
        <v>5171947</v>
      </c>
      <c r="K366" s="149" t="str">
        <f t="shared" si="20"/>
        <v>OK</v>
      </c>
      <c r="L366" s="151" t="str">
        <f t="shared" si="21"/>
        <v>March</v>
      </c>
      <c r="M366" s="152">
        <f t="shared" si="22"/>
        <v>2020</v>
      </c>
    </row>
    <row r="367" spans="2:13" x14ac:dyDescent="0.25">
      <c r="B367" s="144" t="s">
        <v>955</v>
      </c>
      <c r="C367" s="134">
        <v>43917</v>
      </c>
      <c r="D367" s="120"/>
      <c r="E367" s="123">
        <v>591</v>
      </c>
      <c r="F367" s="133"/>
      <c r="G367" s="127"/>
      <c r="H367" s="106"/>
      <c r="I367" s="136"/>
      <c r="J367" s="140">
        <f t="shared" si="23"/>
        <v>5171947</v>
      </c>
      <c r="K367" s="149" t="str">
        <f t="shared" si="20"/>
        <v>OK</v>
      </c>
      <c r="L367" s="151" t="str">
        <f t="shared" si="21"/>
        <v>March</v>
      </c>
      <c r="M367" s="152">
        <f t="shared" si="22"/>
        <v>2020</v>
      </c>
    </row>
    <row r="368" spans="2:13" x14ac:dyDescent="0.25">
      <c r="B368" s="144" t="s">
        <v>956</v>
      </c>
      <c r="C368" s="134">
        <v>43918</v>
      </c>
      <c r="D368" s="120"/>
      <c r="E368" s="123">
        <v>592</v>
      </c>
      <c r="F368" s="133"/>
      <c r="G368" s="127"/>
      <c r="H368" s="106"/>
      <c r="I368" s="136"/>
      <c r="J368" s="140">
        <f t="shared" si="23"/>
        <v>5171947</v>
      </c>
      <c r="K368" s="149" t="str">
        <f t="shared" si="20"/>
        <v>OK</v>
      </c>
      <c r="L368" s="151" t="str">
        <f t="shared" si="21"/>
        <v>March</v>
      </c>
      <c r="M368" s="152">
        <f t="shared" si="22"/>
        <v>2020</v>
      </c>
    </row>
    <row r="369" spans="2:13" x14ac:dyDescent="0.25">
      <c r="B369" s="144" t="s">
        <v>957</v>
      </c>
      <c r="C369" s="134">
        <v>43919</v>
      </c>
      <c r="D369" s="120"/>
      <c r="E369" s="123">
        <v>593</v>
      </c>
      <c r="F369" s="133"/>
      <c r="G369" s="127"/>
      <c r="H369" s="106"/>
      <c r="I369" s="136"/>
      <c r="J369" s="140">
        <f t="shared" si="23"/>
        <v>5171947</v>
      </c>
      <c r="K369" s="149" t="str">
        <f t="shared" si="20"/>
        <v>OK</v>
      </c>
      <c r="L369" s="151" t="str">
        <f t="shared" si="21"/>
        <v>March</v>
      </c>
      <c r="M369" s="152">
        <f t="shared" si="22"/>
        <v>2020</v>
      </c>
    </row>
    <row r="370" spans="2:13" x14ac:dyDescent="0.25">
      <c r="B370" s="144" t="s">
        <v>958</v>
      </c>
      <c r="C370" s="134">
        <v>43920</v>
      </c>
      <c r="D370" s="120"/>
      <c r="E370" s="123">
        <v>594</v>
      </c>
      <c r="F370" s="133"/>
      <c r="G370" s="127"/>
      <c r="H370" s="106"/>
      <c r="I370" s="136"/>
      <c r="J370" s="140">
        <f t="shared" si="23"/>
        <v>5171947</v>
      </c>
      <c r="K370" s="149" t="str">
        <f t="shared" si="20"/>
        <v>OK</v>
      </c>
      <c r="L370" s="151" t="str">
        <f t="shared" si="21"/>
        <v>March</v>
      </c>
      <c r="M370" s="152">
        <f t="shared" si="22"/>
        <v>2020</v>
      </c>
    </row>
    <row r="371" spans="2:13" x14ac:dyDescent="0.25">
      <c r="B371" s="144" t="s">
        <v>959</v>
      </c>
      <c r="C371" s="134"/>
      <c r="D371" s="120"/>
      <c r="E371" s="123"/>
      <c r="F371" s="133"/>
      <c r="G371" s="127"/>
      <c r="H371" s="106"/>
      <c r="I371" s="136"/>
      <c r="J371" s="140">
        <f t="shared" si="23"/>
        <v>5171947</v>
      </c>
      <c r="K371" s="149" t="str">
        <f t="shared" si="20"/>
        <v>OK</v>
      </c>
      <c r="L371" s="151" t="str">
        <f t="shared" si="21"/>
        <v>January</v>
      </c>
      <c r="M371" s="152">
        <f t="shared" si="22"/>
        <v>1900</v>
      </c>
    </row>
    <row r="372" spans="2:13" x14ac:dyDescent="0.25">
      <c r="B372" s="144" t="s">
        <v>960</v>
      </c>
      <c r="C372" s="134"/>
      <c r="D372" s="120"/>
      <c r="E372" s="123"/>
      <c r="F372" s="133"/>
      <c r="G372" s="127"/>
      <c r="H372" s="106"/>
      <c r="I372" s="136"/>
      <c r="J372" s="140">
        <f t="shared" si="23"/>
        <v>5171947</v>
      </c>
      <c r="K372" s="149" t="str">
        <f t="shared" si="20"/>
        <v>OK</v>
      </c>
      <c r="L372" s="151" t="str">
        <f t="shared" si="21"/>
        <v>January</v>
      </c>
      <c r="M372" s="152">
        <f t="shared" si="22"/>
        <v>1900</v>
      </c>
    </row>
    <row r="373" spans="2:13" x14ac:dyDescent="0.25">
      <c r="B373" s="144" t="s">
        <v>961</v>
      </c>
      <c r="C373" s="134"/>
      <c r="D373" s="120"/>
      <c r="E373" s="123"/>
      <c r="F373" s="133"/>
      <c r="G373" s="127"/>
      <c r="H373" s="106"/>
      <c r="I373" s="136"/>
      <c r="J373" s="140">
        <f t="shared" si="23"/>
        <v>5171947</v>
      </c>
      <c r="K373" s="149" t="str">
        <f t="shared" si="20"/>
        <v>OK</v>
      </c>
      <c r="L373" s="151" t="str">
        <f t="shared" si="21"/>
        <v>January</v>
      </c>
      <c r="M373" s="152">
        <f t="shared" si="22"/>
        <v>1900</v>
      </c>
    </row>
    <row r="374" spans="2:13" x14ac:dyDescent="0.25">
      <c r="B374" s="144" t="s">
        <v>962</v>
      </c>
      <c r="C374" s="134"/>
      <c r="D374" s="120"/>
      <c r="E374" s="123"/>
      <c r="F374" s="133"/>
      <c r="G374" s="127"/>
      <c r="H374" s="106"/>
      <c r="I374" s="136"/>
      <c r="J374" s="140">
        <f t="shared" si="23"/>
        <v>5171947</v>
      </c>
      <c r="K374" s="149" t="str">
        <f t="shared" si="20"/>
        <v>OK</v>
      </c>
      <c r="L374" s="151" t="str">
        <f t="shared" si="21"/>
        <v>January</v>
      </c>
      <c r="M374" s="152">
        <f t="shared" si="22"/>
        <v>1900</v>
      </c>
    </row>
    <row r="375" spans="2:13" x14ac:dyDescent="0.25">
      <c r="B375" s="144" t="s">
        <v>963</v>
      </c>
      <c r="C375" s="134"/>
      <c r="D375" s="120"/>
      <c r="E375" s="123"/>
      <c r="F375" s="133"/>
      <c r="G375" s="127"/>
      <c r="H375" s="106"/>
      <c r="I375" s="136"/>
      <c r="J375" s="140">
        <f t="shared" si="23"/>
        <v>5171947</v>
      </c>
      <c r="K375" s="149" t="str">
        <f t="shared" si="20"/>
        <v>OK</v>
      </c>
      <c r="L375" s="151" t="str">
        <f t="shared" si="21"/>
        <v>January</v>
      </c>
      <c r="M375" s="152">
        <f t="shared" si="22"/>
        <v>1900</v>
      </c>
    </row>
    <row r="376" spans="2:13" x14ac:dyDescent="0.25">
      <c r="B376" s="144" t="s">
        <v>964</v>
      </c>
      <c r="C376" s="134"/>
      <c r="D376" s="120"/>
      <c r="E376" s="123"/>
      <c r="F376" s="133"/>
      <c r="G376" s="127"/>
      <c r="H376" s="106"/>
      <c r="I376" s="136"/>
      <c r="J376" s="140">
        <f t="shared" si="23"/>
        <v>5171947</v>
      </c>
      <c r="K376" s="149" t="str">
        <f t="shared" si="20"/>
        <v>OK</v>
      </c>
      <c r="L376" s="151" t="str">
        <f t="shared" si="21"/>
        <v>January</v>
      </c>
      <c r="M376" s="152">
        <f t="shared" si="22"/>
        <v>1900</v>
      </c>
    </row>
    <row r="377" spans="2:13" x14ac:dyDescent="0.25">
      <c r="B377" s="144" t="s">
        <v>965</v>
      </c>
      <c r="C377" s="134"/>
      <c r="D377" s="120"/>
      <c r="E377" s="123"/>
      <c r="F377" s="133"/>
      <c r="G377" s="127"/>
      <c r="H377" s="106"/>
      <c r="I377" s="136"/>
      <c r="J377" s="140">
        <f t="shared" si="23"/>
        <v>5171947</v>
      </c>
      <c r="K377" s="149" t="str">
        <f t="shared" si="20"/>
        <v>OK</v>
      </c>
      <c r="L377" s="151" t="str">
        <f t="shared" si="21"/>
        <v>January</v>
      </c>
      <c r="M377" s="152">
        <f t="shared" si="22"/>
        <v>1900</v>
      </c>
    </row>
    <row r="378" spans="2:13" x14ac:dyDescent="0.25">
      <c r="B378" s="144" t="s">
        <v>966</v>
      </c>
      <c r="C378" s="134"/>
      <c r="D378" s="120"/>
      <c r="E378" s="123"/>
      <c r="F378" s="133"/>
      <c r="G378" s="127"/>
      <c r="H378" s="106"/>
      <c r="I378" s="136"/>
      <c r="J378" s="140">
        <f t="shared" si="23"/>
        <v>5171947</v>
      </c>
      <c r="K378" s="149" t="str">
        <f t="shared" si="20"/>
        <v>OK</v>
      </c>
      <c r="L378" s="151" t="str">
        <f t="shared" si="21"/>
        <v>January</v>
      </c>
      <c r="M378" s="152">
        <f t="shared" si="22"/>
        <v>1900</v>
      </c>
    </row>
    <row r="379" spans="2:13" x14ac:dyDescent="0.25">
      <c r="B379" s="144" t="s">
        <v>967</v>
      </c>
      <c r="C379" s="134"/>
      <c r="D379" s="120"/>
      <c r="E379" s="123"/>
      <c r="F379" s="133"/>
      <c r="G379" s="127"/>
      <c r="H379" s="106"/>
      <c r="I379" s="136"/>
      <c r="J379" s="140">
        <f t="shared" si="23"/>
        <v>5171947</v>
      </c>
      <c r="K379" s="149" t="str">
        <f t="shared" si="20"/>
        <v>OK</v>
      </c>
      <c r="L379" s="151" t="str">
        <f t="shared" si="21"/>
        <v>January</v>
      </c>
      <c r="M379" s="152">
        <f t="shared" si="22"/>
        <v>1900</v>
      </c>
    </row>
    <row r="380" spans="2:13" x14ac:dyDescent="0.25">
      <c r="B380" s="144" t="s">
        <v>968</v>
      </c>
      <c r="C380" s="134"/>
      <c r="D380" s="120"/>
      <c r="E380" s="123"/>
      <c r="F380" s="133"/>
      <c r="G380" s="127"/>
      <c r="H380" s="106"/>
      <c r="I380" s="136"/>
      <c r="J380" s="140">
        <f t="shared" si="23"/>
        <v>5171947</v>
      </c>
      <c r="K380" s="149" t="str">
        <f t="shared" si="20"/>
        <v>OK</v>
      </c>
      <c r="L380" s="151" t="str">
        <f t="shared" si="21"/>
        <v>January</v>
      </c>
      <c r="M380" s="152">
        <f t="shared" si="22"/>
        <v>1900</v>
      </c>
    </row>
    <row r="381" spans="2:13" x14ac:dyDescent="0.25">
      <c r="B381" s="144" t="s">
        <v>969</v>
      </c>
      <c r="C381" s="134"/>
      <c r="D381" s="120"/>
      <c r="E381" s="123"/>
      <c r="F381" s="133"/>
      <c r="G381" s="127"/>
      <c r="H381" s="106"/>
      <c r="I381" s="136"/>
      <c r="J381" s="140">
        <f t="shared" si="23"/>
        <v>5171947</v>
      </c>
      <c r="K381" s="149" t="str">
        <f t="shared" si="20"/>
        <v>OK</v>
      </c>
      <c r="L381" s="151" t="str">
        <f t="shared" si="21"/>
        <v>January</v>
      </c>
      <c r="M381" s="152">
        <f t="shared" si="22"/>
        <v>1900</v>
      </c>
    </row>
    <row r="382" spans="2:13" x14ac:dyDescent="0.25">
      <c r="B382" s="144" t="s">
        <v>970</v>
      </c>
      <c r="C382" s="134"/>
      <c r="D382" s="120"/>
      <c r="E382" s="123"/>
      <c r="F382" s="133"/>
      <c r="G382" s="127"/>
      <c r="H382" s="106"/>
      <c r="I382" s="136"/>
      <c r="J382" s="140">
        <f t="shared" si="23"/>
        <v>5171947</v>
      </c>
      <c r="K382" s="149" t="str">
        <f t="shared" si="20"/>
        <v>OK</v>
      </c>
      <c r="L382" s="151" t="str">
        <f t="shared" si="21"/>
        <v>January</v>
      </c>
      <c r="M382" s="152">
        <f t="shared" si="22"/>
        <v>1900</v>
      </c>
    </row>
    <row r="383" spans="2:13" x14ac:dyDescent="0.25">
      <c r="B383" s="144" t="s">
        <v>971</v>
      </c>
      <c r="C383" s="134"/>
      <c r="D383" s="120"/>
      <c r="E383" s="123"/>
      <c r="F383" s="133"/>
      <c r="G383" s="127"/>
      <c r="H383" s="106"/>
      <c r="I383" s="136"/>
      <c r="J383" s="140">
        <f t="shared" si="23"/>
        <v>5171947</v>
      </c>
      <c r="K383" s="149" t="str">
        <f t="shared" si="20"/>
        <v>OK</v>
      </c>
      <c r="L383" s="151" t="str">
        <f t="shared" si="21"/>
        <v>January</v>
      </c>
      <c r="M383" s="152">
        <f t="shared" si="22"/>
        <v>1900</v>
      </c>
    </row>
    <row r="384" spans="2:13" x14ac:dyDescent="0.25">
      <c r="B384" s="144" t="s">
        <v>972</v>
      </c>
      <c r="C384" s="134"/>
      <c r="D384" s="120"/>
      <c r="E384" s="123"/>
      <c r="F384" s="133"/>
      <c r="G384" s="127"/>
      <c r="H384" s="106"/>
      <c r="I384" s="136"/>
      <c r="J384" s="140">
        <f t="shared" si="23"/>
        <v>5171947</v>
      </c>
      <c r="K384" s="149" t="str">
        <f t="shared" si="20"/>
        <v>OK</v>
      </c>
      <c r="L384" s="151" t="str">
        <f t="shared" si="21"/>
        <v>January</v>
      </c>
      <c r="M384" s="152">
        <f t="shared" si="22"/>
        <v>1900</v>
      </c>
    </row>
    <row r="385" spans="2:13" x14ac:dyDescent="0.25">
      <c r="B385" s="144" t="s">
        <v>973</v>
      </c>
      <c r="C385" s="134"/>
      <c r="D385" s="120"/>
      <c r="E385" s="123"/>
      <c r="F385" s="133"/>
      <c r="G385" s="127"/>
      <c r="H385" s="106"/>
      <c r="I385" s="136"/>
      <c r="J385" s="140">
        <f t="shared" si="23"/>
        <v>5171947</v>
      </c>
      <c r="K385" s="149" t="str">
        <f t="shared" si="20"/>
        <v>OK</v>
      </c>
      <c r="L385" s="151" t="str">
        <f t="shared" si="21"/>
        <v>January</v>
      </c>
      <c r="M385" s="152">
        <f t="shared" si="22"/>
        <v>1900</v>
      </c>
    </row>
    <row r="386" spans="2:13" x14ac:dyDescent="0.25">
      <c r="B386" s="144" t="s">
        <v>974</v>
      </c>
      <c r="C386" s="134"/>
      <c r="D386" s="120"/>
      <c r="E386" s="123"/>
      <c r="F386" s="133"/>
      <c r="G386" s="127"/>
      <c r="H386" s="106"/>
      <c r="I386" s="136"/>
      <c r="J386" s="140">
        <f t="shared" si="23"/>
        <v>5171947</v>
      </c>
      <c r="K386" s="149" t="str">
        <f t="shared" si="20"/>
        <v>OK</v>
      </c>
      <c r="L386" s="151" t="str">
        <f t="shared" si="21"/>
        <v>January</v>
      </c>
      <c r="M386" s="152">
        <f t="shared" si="22"/>
        <v>1900</v>
      </c>
    </row>
    <row r="387" spans="2:13" x14ac:dyDescent="0.25">
      <c r="B387" s="144" t="s">
        <v>975</v>
      </c>
      <c r="C387" s="134"/>
      <c r="D387" s="120"/>
      <c r="E387" s="123"/>
      <c r="F387" s="133"/>
      <c r="G387" s="127"/>
      <c r="H387" s="106"/>
      <c r="I387" s="136"/>
      <c r="J387" s="140">
        <f t="shared" si="23"/>
        <v>5171947</v>
      </c>
      <c r="K387" s="149" t="str">
        <f t="shared" si="20"/>
        <v>OK</v>
      </c>
      <c r="L387" s="151" t="str">
        <f t="shared" si="21"/>
        <v>January</v>
      </c>
      <c r="M387" s="152">
        <f t="shared" si="22"/>
        <v>1900</v>
      </c>
    </row>
    <row r="388" spans="2:13" x14ac:dyDescent="0.25">
      <c r="B388" s="144" t="s">
        <v>976</v>
      </c>
      <c r="C388" s="134"/>
      <c r="D388" s="120"/>
      <c r="E388" s="123"/>
      <c r="F388" s="133"/>
      <c r="G388" s="127"/>
      <c r="H388" s="106"/>
      <c r="I388" s="136"/>
      <c r="J388" s="140">
        <f t="shared" si="23"/>
        <v>5171947</v>
      </c>
      <c r="K388" s="149" t="str">
        <f t="shared" si="20"/>
        <v>OK</v>
      </c>
      <c r="L388" s="151" t="str">
        <f t="shared" si="21"/>
        <v>January</v>
      </c>
      <c r="M388" s="152">
        <f t="shared" si="22"/>
        <v>1900</v>
      </c>
    </row>
    <row r="389" spans="2:13" x14ac:dyDescent="0.25">
      <c r="B389" s="144" t="s">
        <v>977</v>
      </c>
      <c r="C389" s="134"/>
      <c r="D389" s="120"/>
      <c r="E389" s="123"/>
      <c r="F389" s="133"/>
      <c r="G389" s="127"/>
      <c r="H389" s="106"/>
      <c r="I389" s="136"/>
      <c r="J389" s="140">
        <f t="shared" si="23"/>
        <v>5171947</v>
      </c>
      <c r="K389" s="149" t="str">
        <f t="shared" si="20"/>
        <v>OK</v>
      </c>
      <c r="L389" s="151" t="str">
        <f t="shared" si="21"/>
        <v>January</v>
      </c>
      <c r="M389" s="152">
        <f t="shared" si="22"/>
        <v>1900</v>
      </c>
    </row>
    <row r="390" spans="2:13" x14ac:dyDescent="0.25">
      <c r="B390" s="144" t="s">
        <v>978</v>
      </c>
      <c r="C390" s="134"/>
      <c r="D390" s="120"/>
      <c r="E390" s="123"/>
      <c r="F390" s="133"/>
      <c r="G390" s="127"/>
      <c r="H390" s="106"/>
      <c r="I390" s="136"/>
      <c r="J390" s="140">
        <f t="shared" si="23"/>
        <v>5171947</v>
      </c>
      <c r="K390" s="149" t="str">
        <f t="shared" si="20"/>
        <v>OK</v>
      </c>
      <c r="L390" s="151" t="str">
        <f t="shared" si="21"/>
        <v>January</v>
      </c>
      <c r="M390" s="152">
        <f t="shared" si="22"/>
        <v>1900</v>
      </c>
    </row>
    <row r="391" spans="2:13" x14ac:dyDescent="0.25">
      <c r="B391" s="144" t="s">
        <v>979</v>
      </c>
      <c r="C391" s="134"/>
      <c r="D391" s="120"/>
      <c r="E391" s="123"/>
      <c r="F391" s="133"/>
      <c r="G391" s="127"/>
      <c r="H391" s="106"/>
      <c r="I391" s="136"/>
      <c r="J391" s="140">
        <f t="shared" si="23"/>
        <v>5171947</v>
      </c>
      <c r="K391" s="149" t="str">
        <f t="shared" si="20"/>
        <v>OK</v>
      </c>
      <c r="L391" s="151" t="str">
        <f t="shared" si="21"/>
        <v>January</v>
      </c>
      <c r="M391" s="152">
        <f t="shared" si="22"/>
        <v>1900</v>
      </c>
    </row>
    <row r="392" spans="2:13" x14ac:dyDescent="0.25">
      <c r="B392" s="144" t="s">
        <v>980</v>
      </c>
      <c r="C392" s="134"/>
      <c r="D392" s="120"/>
      <c r="E392" s="123"/>
      <c r="F392" s="133"/>
      <c r="G392" s="127"/>
      <c r="H392" s="106"/>
      <c r="I392" s="136"/>
      <c r="J392" s="140">
        <f t="shared" si="23"/>
        <v>5171947</v>
      </c>
      <c r="K392" s="149" t="str">
        <f t="shared" si="20"/>
        <v>OK</v>
      </c>
      <c r="L392" s="151" t="str">
        <f t="shared" si="21"/>
        <v>January</v>
      </c>
      <c r="M392" s="152">
        <f t="shared" si="22"/>
        <v>1900</v>
      </c>
    </row>
    <row r="393" spans="2:13" x14ac:dyDescent="0.25">
      <c r="B393" s="144" t="s">
        <v>981</v>
      </c>
      <c r="C393" s="134"/>
      <c r="D393" s="120"/>
      <c r="E393" s="123"/>
      <c r="F393" s="133"/>
      <c r="G393" s="127"/>
      <c r="H393" s="106"/>
      <c r="I393" s="136"/>
      <c r="J393" s="140">
        <f t="shared" si="23"/>
        <v>5171947</v>
      </c>
      <c r="K393" s="149" t="str">
        <f t="shared" si="20"/>
        <v>OK</v>
      </c>
      <c r="L393" s="151" t="str">
        <f t="shared" si="21"/>
        <v>January</v>
      </c>
      <c r="M393" s="152">
        <f t="shared" si="22"/>
        <v>1900</v>
      </c>
    </row>
    <row r="394" spans="2:13" x14ac:dyDescent="0.25">
      <c r="B394" s="144" t="s">
        <v>982</v>
      </c>
      <c r="C394" s="134"/>
      <c r="D394" s="120"/>
      <c r="E394" s="123"/>
      <c r="F394" s="133"/>
      <c r="G394" s="127"/>
      <c r="H394" s="106"/>
      <c r="I394" s="136"/>
      <c r="J394" s="140">
        <f t="shared" si="23"/>
        <v>5171947</v>
      </c>
      <c r="K394" s="149" t="str">
        <f t="shared" si="20"/>
        <v>OK</v>
      </c>
      <c r="L394" s="151" t="str">
        <f t="shared" si="21"/>
        <v>January</v>
      </c>
      <c r="M394" s="152">
        <f t="shared" si="22"/>
        <v>1900</v>
      </c>
    </row>
    <row r="395" spans="2:13" x14ac:dyDescent="0.25">
      <c r="B395" s="144" t="s">
        <v>983</v>
      </c>
      <c r="C395" s="134"/>
      <c r="D395" s="120"/>
      <c r="E395" s="123"/>
      <c r="F395" s="133"/>
      <c r="G395" s="127"/>
      <c r="H395" s="106"/>
      <c r="I395" s="136"/>
      <c r="J395" s="140">
        <f t="shared" si="23"/>
        <v>5171947</v>
      </c>
      <c r="K395" s="149" t="str">
        <f t="shared" ref="K395:K409" si="24">IF(AND(F395&lt;&gt;"",G395&lt;&gt;""),"ERROR","OK")</f>
        <v>OK</v>
      </c>
      <c r="L395" s="151" t="str">
        <f t="shared" ref="L395:L409" si="25">TEXT(C395,"mmmm")</f>
        <v>January</v>
      </c>
      <c r="M395" s="152">
        <f t="shared" ref="M395:M409" si="26">YEAR(C395)</f>
        <v>1900</v>
      </c>
    </row>
    <row r="396" spans="2:13" x14ac:dyDescent="0.25">
      <c r="B396" s="144" t="s">
        <v>984</v>
      </c>
      <c r="C396" s="134"/>
      <c r="D396" s="120"/>
      <c r="E396" s="123"/>
      <c r="F396" s="133"/>
      <c r="G396" s="127"/>
      <c r="H396" s="106"/>
      <c r="I396" s="136"/>
      <c r="J396" s="140">
        <f t="shared" ref="J396:J409" si="27">($J395+$F396)-$G396</f>
        <v>5171947</v>
      </c>
      <c r="K396" s="149" t="str">
        <f t="shared" si="24"/>
        <v>OK</v>
      </c>
      <c r="L396" s="151" t="str">
        <f t="shared" si="25"/>
        <v>January</v>
      </c>
      <c r="M396" s="152">
        <f t="shared" si="26"/>
        <v>1900</v>
      </c>
    </row>
    <row r="397" spans="2:13" x14ac:dyDescent="0.25">
      <c r="B397" s="144" t="s">
        <v>985</v>
      </c>
      <c r="C397" s="134"/>
      <c r="D397" s="120"/>
      <c r="E397" s="123"/>
      <c r="F397" s="133"/>
      <c r="G397" s="127"/>
      <c r="H397" s="106"/>
      <c r="I397" s="136"/>
      <c r="J397" s="140">
        <f t="shared" si="27"/>
        <v>5171947</v>
      </c>
      <c r="K397" s="149" t="str">
        <f t="shared" si="24"/>
        <v>OK</v>
      </c>
      <c r="L397" s="151" t="str">
        <f t="shared" si="25"/>
        <v>January</v>
      </c>
      <c r="M397" s="152">
        <f t="shared" si="26"/>
        <v>1900</v>
      </c>
    </row>
    <row r="398" spans="2:13" x14ac:dyDescent="0.25">
      <c r="B398" s="144" t="s">
        <v>986</v>
      </c>
      <c r="C398" s="134"/>
      <c r="D398" s="120"/>
      <c r="E398" s="123"/>
      <c r="F398" s="133"/>
      <c r="G398" s="127"/>
      <c r="H398" s="106"/>
      <c r="I398" s="136"/>
      <c r="J398" s="140">
        <f t="shared" si="27"/>
        <v>5171947</v>
      </c>
      <c r="K398" s="149" t="str">
        <f t="shared" si="24"/>
        <v>OK</v>
      </c>
      <c r="L398" s="151" t="str">
        <f t="shared" si="25"/>
        <v>January</v>
      </c>
      <c r="M398" s="152">
        <f t="shared" si="26"/>
        <v>1900</v>
      </c>
    </row>
    <row r="399" spans="2:13" x14ac:dyDescent="0.25">
      <c r="B399" s="144" t="s">
        <v>987</v>
      </c>
      <c r="C399" s="134"/>
      <c r="D399" s="120"/>
      <c r="E399" s="123"/>
      <c r="F399" s="133"/>
      <c r="G399" s="127"/>
      <c r="H399" s="106"/>
      <c r="I399" s="136"/>
      <c r="J399" s="140">
        <f t="shared" si="27"/>
        <v>5171947</v>
      </c>
      <c r="K399" s="149" t="str">
        <f t="shared" si="24"/>
        <v>OK</v>
      </c>
      <c r="L399" s="151" t="str">
        <f t="shared" si="25"/>
        <v>January</v>
      </c>
      <c r="M399" s="152">
        <f t="shared" si="26"/>
        <v>1900</v>
      </c>
    </row>
    <row r="400" spans="2:13" x14ac:dyDescent="0.25">
      <c r="B400" s="144" t="s">
        <v>988</v>
      </c>
      <c r="C400" s="134"/>
      <c r="D400" s="120"/>
      <c r="E400" s="123"/>
      <c r="F400" s="133"/>
      <c r="G400" s="127"/>
      <c r="H400" s="106"/>
      <c r="I400" s="136"/>
      <c r="J400" s="140">
        <f t="shared" si="27"/>
        <v>5171947</v>
      </c>
      <c r="K400" s="149" t="str">
        <f t="shared" si="24"/>
        <v>OK</v>
      </c>
      <c r="L400" s="151" t="str">
        <f t="shared" si="25"/>
        <v>January</v>
      </c>
      <c r="M400" s="152">
        <f t="shared" si="26"/>
        <v>1900</v>
      </c>
    </row>
    <row r="401" spans="2:13" x14ac:dyDescent="0.25">
      <c r="B401" s="144" t="s">
        <v>989</v>
      </c>
      <c r="C401" s="134"/>
      <c r="D401" s="120"/>
      <c r="E401" s="123"/>
      <c r="F401" s="133"/>
      <c r="G401" s="127"/>
      <c r="H401" s="106"/>
      <c r="I401" s="136"/>
      <c r="J401" s="140">
        <f t="shared" si="27"/>
        <v>5171947</v>
      </c>
      <c r="K401" s="149" t="str">
        <f t="shared" si="24"/>
        <v>OK</v>
      </c>
      <c r="L401" s="151" t="str">
        <f t="shared" si="25"/>
        <v>January</v>
      </c>
      <c r="M401" s="152">
        <f t="shared" si="26"/>
        <v>1900</v>
      </c>
    </row>
    <row r="402" spans="2:13" x14ac:dyDescent="0.25">
      <c r="B402" s="144" t="s">
        <v>990</v>
      </c>
      <c r="C402" s="134"/>
      <c r="D402" s="120"/>
      <c r="E402" s="123"/>
      <c r="F402" s="133"/>
      <c r="G402" s="127"/>
      <c r="H402" s="106"/>
      <c r="I402" s="136"/>
      <c r="J402" s="140">
        <f t="shared" si="27"/>
        <v>5171947</v>
      </c>
      <c r="K402" s="149" t="str">
        <f t="shared" si="24"/>
        <v>OK</v>
      </c>
      <c r="L402" s="151" t="str">
        <f t="shared" si="25"/>
        <v>January</v>
      </c>
      <c r="M402" s="152">
        <f t="shared" si="26"/>
        <v>1900</v>
      </c>
    </row>
    <row r="403" spans="2:13" x14ac:dyDescent="0.25">
      <c r="B403" s="144" t="s">
        <v>991</v>
      </c>
      <c r="C403" s="134"/>
      <c r="D403" s="120"/>
      <c r="E403" s="123"/>
      <c r="F403" s="133"/>
      <c r="G403" s="127"/>
      <c r="H403" s="106"/>
      <c r="I403" s="136"/>
      <c r="J403" s="140">
        <f t="shared" si="27"/>
        <v>5171947</v>
      </c>
      <c r="K403" s="149" t="str">
        <f t="shared" si="24"/>
        <v>OK</v>
      </c>
      <c r="L403" s="151" t="str">
        <f t="shared" si="25"/>
        <v>January</v>
      </c>
      <c r="M403" s="152">
        <f t="shared" si="26"/>
        <v>1900</v>
      </c>
    </row>
    <row r="404" spans="2:13" x14ac:dyDescent="0.25">
      <c r="B404" s="144" t="s">
        <v>992</v>
      </c>
      <c r="C404" s="134"/>
      <c r="D404" s="120"/>
      <c r="E404" s="123"/>
      <c r="F404" s="133"/>
      <c r="G404" s="127"/>
      <c r="H404" s="106"/>
      <c r="I404" s="136"/>
      <c r="J404" s="140">
        <f t="shared" si="27"/>
        <v>5171947</v>
      </c>
      <c r="K404" s="149" t="str">
        <f t="shared" si="24"/>
        <v>OK</v>
      </c>
      <c r="L404" s="151" t="str">
        <f t="shared" si="25"/>
        <v>January</v>
      </c>
      <c r="M404" s="152">
        <f t="shared" si="26"/>
        <v>1900</v>
      </c>
    </row>
    <row r="405" spans="2:13" x14ac:dyDescent="0.25">
      <c r="B405" s="144" t="s">
        <v>993</v>
      </c>
      <c r="C405" s="134"/>
      <c r="D405" s="120"/>
      <c r="E405" s="123"/>
      <c r="F405" s="133"/>
      <c r="G405" s="127"/>
      <c r="H405" s="106"/>
      <c r="I405" s="136"/>
      <c r="J405" s="140">
        <f t="shared" si="27"/>
        <v>5171947</v>
      </c>
      <c r="K405" s="149" t="str">
        <f t="shared" si="24"/>
        <v>OK</v>
      </c>
      <c r="L405" s="151" t="str">
        <f t="shared" si="25"/>
        <v>January</v>
      </c>
      <c r="M405" s="152">
        <f t="shared" si="26"/>
        <v>1900</v>
      </c>
    </row>
    <row r="406" spans="2:13" x14ac:dyDescent="0.25">
      <c r="B406" s="144" t="s">
        <v>994</v>
      </c>
      <c r="C406" s="134"/>
      <c r="D406" s="120"/>
      <c r="E406" s="123"/>
      <c r="F406" s="133"/>
      <c r="G406" s="127"/>
      <c r="H406" s="106"/>
      <c r="I406" s="136"/>
      <c r="J406" s="140">
        <f t="shared" si="27"/>
        <v>5171947</v>
      </c>
      <c r="K406" s="149" t="str">
        <f t="shared" si="24"/>
        <v>OK</v>
      </c>
      <c r="L406" s="151" t="str">
        <f t="shared" si="25"/>
        <v>January</v>
      </c>
      <c r="M406" s="152">
        <f t="shared" si="26"/>
        <v>1900</v>
      </c>
    </row>
    <row r="407" spans="2:13" x14ac:dyDescent="0.25">
      <c r="B407" s="144" t="s">
        <v>995</v>
      </c>
      <c r="C407" s="134"/>
      <c r="D407" s="120"/>
      <c r="E407" s="123"/>
      <c r="F407" s="133"/>
      <c r="G407" s="127"/>
      <c r="H407" s="106"/>
      <c r="I407" s="136"/>
      <c r="J407" s="140">
        <f t="shared" si="27"/>
        <v>5171947</v>
      </c>
      <c r="K407" s="149" t="str">
        <f t="shared" si="24"/>
        <v>OK</v>
      </c>
      <c r="L407" s="151" t="str">
        <f t="shared" si="25"/>
        <v>January</v>
      </c>
      <c r="M407" s="152">
        <f t="shared" si="26"/>
        <v>1900</v>
      </c>
    </row>
    <row r="408" spans="2:13" x14ac:dyDescent="0.25">
      <c r="B408" s="144" t="s">
        <v>996</v>
      </c>
      <c r="C408" s="134"/>
      <c r="D408" s="120"/>
      <c r="E408" s="123"/>
      <c r="F408" s="133"/>
      <c r="G408" s="127"/>
      <c r="H408" s="106"/>
      <c r="I408" s="136"/>
      <c r="J408" s="140">
        <f t="shared" si="27"/>
        <v>5171947</v>
      </c>
      <c r="K408" s="149" t="str">
        <f t="shared" si="24"/>
        <v>OK</v>
      </c>
      <c r="L408" s="151" t="str">
        <f t="shared" si="25"/>
        <v>January</v>
      </c>
      <c r="M408" s="152">
        <f t="shared" si="26"/>
        <v>1900</v>
      </c>
    </row>
    <row r="409" spans="2:13" ht="15.75" thickBot="1" x14ac:dyDescent="0.3">
      <c r="B409" s="145" t="s">
        <v>997</v>
      </c>
      <c r="C409" s="135"/>
      <c r="D409" s="121"/>
      <c r="E409" s="124"/>
      <c r="F409" s="142"/>
      <c r="G409" s="128"/>
      <c r="H409" s="125"/>
      <c r="I409" s="137"/>
      <c r="J409" s="143">
        <f t="shared" si="27"/>
        <v>5171947</v>
      </c>
      <c r="K409" s="150" t="str">
        <f t="shared" si="24"/>
        <v>OK</v>
      </c>
      <c r="L409" s="153" t="str">
        <f t="shared" si="25"/>
        <v>January</v>
      </c>
      <c r="M409" s="154">
        <f t="shared" si="26"/>
        <v>1900</v>
      </c>
    </row>
  </sheetData>
  <sheetProtection algorithmName="SHA-512" hashValue="m6wx8MLjKh596JjQWZjPVFS9ecD1kcR3njRxAQmcLVB9tEKHq0fDN3S7gaBuprRx7Ufh6h8QbAiAnckyCK4kNA==" saltValue="GtXnxxbh2SHFtRfUYg89cQ==" spinCount="100000" sheet="1" objects="1" scenarios="1"/>
  <mergeCells count="20">
    <mergeCell ref="D1:F1"/>
    <mergeCell ref="D2:F2"/>
    <mergeCell ref="D3:F3"/>
    <mergeCell ref="D4:F4"/>
    <mergeCell ref="D5:F5"/>
    <mergeCell ref="B1:C1"/>
    <mergeCell ref="B2:C2"/>
    <mergeCell ref="B3:C3"/>
    <mergeCell ref="B4:C4"/>
    <mergeCell ref="B5:C5"/>
    <mergeCell ref="O4:Q4"/>
    <mergeCell ref="O2:Q2"/>
    <mergeCell ref="S2:U2"/>
    <mergeCell ref="W1:Y1"/>
    <mergeCell ref="H7:I7"/>
    <mergeCell ref="H1:I1"/>
    <mergeCell ref="H2:I2"/>
    <mergeCell ref="H4:I4"/>
    <mergeCell ref="H5:I5"/>
    <mergeCell ref="H6:I6"/>
  </mergeCells>
  <dataValidations count="7">
    <dataValidation type="list" allowBlank="1" showInputMessage="1" showErrorMessage="1" sqref="D10:D409">
      <formula1>"Bill, Reciept"</formula1>
    </dataValidation>
    <dataValidation type="list" allowBlank="1" showInputMessage="1" showErrorMessage="1" sqref="H10:H409">
      <formula1>"Cash, Cheque"</formula1>
    </dataValidation>
    <dataValidation type="whole" allowBlank="1" showInputMessage="1" showErrorMessage="1" sqref="E10:E409 M10:M409">
      <formula1>1</formula1>
      <formula2>9999999999</formula2>
    </dataValidation>
    <dataValidation type="whole" allowBlank="1" showInputMessage="1" showErrorMessage="1" sqref="F10:F409">
      <formula1>1000</formula1>
      <formula2>5000000</formula2>
    </dataValidation>
    <dataValidation type="whole" allowBlank="1" showInputMessage="1" showErrorMessage="1" sqref="G10:G409">
      <formula1>1000</formula1>
      <formula2>5000000</formula2>
    </dataValidation>
    <dataValidation type="whole" allowBlank="1" showInputMessage="1" showErrorMessage="1" sqref="I10:I409">
      <formula1>111</formula1>
      <formula2>99999999</formula2>
    </dataValidation>
    <dataValidation type="date" allowBlank="1" showInputMessage="1" showErrorMessage="1" sqref="C10:C409">
      <formula1>43831</formula1>
      <formula2>TODAY()</formula2>
    </dataValidation>
  </dataValidations>
  <pageMargins left="0" right="0" top="0" bottom="0" header="0.31496062992125984" footer="0.31496062992125984"/>
  <pageSetup paperSize="9" orientation="portrait" r:id="rId4"/>
  <ignoredErrors>
    <ignoredError sqref="D3" formula="1"/>
  </ignoredErrors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Y409"/>
  <sheetViews>
    <sheetView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O22" sqref="O22"/>
    </sheetView>
  </sheetViews>
  <sheetFormatPr defaultRowHeight="15" x14ac:dyDescent="0.25"/>
  <cols>
    <col min="1" max="1" width="2.140625" customWidth="1"/>
    <col min="2" max="2" width="8.5703125" bestFit="1" customWidth="1"/>
    <col min="3" max="3" width="10.7109375" bestFit="1" customWidth="1"/>
    <col min="4" max="4" width="8.140625" bestFit="1" customWidth="1"/>
    <col min="5" max="5" width="8" bestFit="1" customWidth="1"/>
    <col min="6" max="6" width="12.140625" bestFit="1" customWidth="1"/>
    <col min="7" max="7" width="10.5703125" bestFit="1" customWidth="1"/>
    <col min="8" max="8" width="7.85546875" bestFit="1" customWidth="1"/>
    <col min="9" max="9" width="10.7109375" customWidth="1"/>
    <col min="10" max="10" width="12.85546875" bestFit="1" customWidth="1"/>
    <col min="11" max="11" width="6.85546875" bestFit="1" customWidth="1"/>
    <col min="13" max="13" width="11" bestFit="1" customWidth="1"/>
    <col min="14" max="14" width="9.5703125" bestFit="1" customWidth="1"/>
    <col min="15" max="15" width="11.28515625" customWidth="1"/>
    <col min="16" max="16" width="17.85546875" customWidth="1"/>
    <col min="17" max="17" width="11.7109375" bestFit="1" customWidth="1"/>
    <col min="19" max="19" width="11.42578125" bestFit="1" customWidth="1"/>
    <col min="20" max="20" width="17.85546875" customWidth="1"/>
    <col min="21" max="21" width="11.7109375" bestFit="1" customWidth="1"/>
    <col min="23" max="23" width="11.28515625" customWidth="1"/>
    <col min="24" max="24" width="17.85546875" bestFit="1" customWidth="1"/>
    <col min="25" max="25" width="11.7109375" bestFit="1" customWidth="1"/>
  </cols>
  <sheetData>
    <row r="1" spans="2:25" ht="15.75" thickBot="1" x14ac:dyDescent="0.3">
      <c r="B1" s="181" t="s">
        <v>195</v>
      </c>
      <c r="C1" s="182"/>
      <c r="D1" s="221" t="str">
        <f>DASHBOARD!$B$6</f>
        <v>C_1</v>
      </c>
      <c r="E1" s="221"/>
      <c r="F1" s="222"/>
      <c r="G1" s="111"/>
      <c r="H1" s="205" t="s">
        <v>185</v>
      </c>
      <c r="I1" s="206"/>
      <c r="J1" s="107" t="str">
        <f>DASHBOARD!$H$1</f>
        <v>2019-2020</v>
      </c>
      <c r="K1" s="116"/>
      <c r="W1" s="202" t="s">
        <v>1023</v>
      </c>
      <c r="X1" s="203"/>
      <c r="Y1" s="204"/>
    </row>
    <row r="2" spans="2:25" ht="15.75" thickBot="1" x14ac:dyDescent="0.3">
      <c r="B2" s="215" t="s">
        <v>196</v>
      </c>
      <c r="C2" s="216"/>
      <c r="D2" s="223" t="str">
        <f>INDEX(DASHBOARD!$C$6:$C$405,MATCH('AB AHAD MIR (2)'!$D$1:$F$1,DASHBOARD!$B$6:$B$405,0))</f>
        <v>AB AHAD MIR BHAI</v>
      </c>
      <c r="E2" s="223"/>
      <c r="F2" s="224"/>
      <c r="G2" s="112"/>
      <c r="H2" s="207" t="s">
        <v>186</v>
      </c>
      <c r="I2" s="208"/>
      <c r="J2" s="108">
        <f ca="1">TODAY()</f>
        <v>43928</v>
      </c>
      <c r="K2" s="117"/>
      <c r="O2" s="202" t="s">
        <v>1021</v>
      </c>
      <c r="P2" s="203"/>
      <c r="Q2" s="204"/>
      <c r="S2" s="202" t="s">
        <v>1022</v>
      </c>
      <c r="T2" s="203"/>
      <c r="U2" s="204"/>
      <c r="W2" s="173" t="s">
        <v>1005</v>
      </c>
      <c r="X2" s="167" t="s">
        <v>1019</v>
      </c>
    </row>
    <row r="3" spans="2:25" ht="15.75" thickBot="1" x14ac:dyDescent="0.3">
      <c r="B3" s="217" t="s">
        <v>183</v>
      </c>
      <c r="C3" s="218"/>
      <c r="D3" s="225" t="str">
        <f>INDEX(DASHBOARD!$E$6:$E$405,MATCH('AB AHAD MIR (2)'!$D$1:$F$1,DASHBOARD!$B$6:$B$405,0))</f>
        <v>Jammu &amp; Kashmir</v>
      </c>
      <c r="E3" s="225"/>
      <c r="F3" s="226"/>
      <c r="G3" s="112"/>
      <c r="H3" s="112"/>
      <c r="I3" s="112"/>
      <c r="J3" s="112"/>
      <c r="K3" s="117"/>
      <c r="O3" s="173" t="s">
        <v>1005</v>
      </c>
      <c r="P3" s="167" t="s">
        <v>1019</v>
      </c>
      <c r="Q3" s="162"/>
      <c r="S3" s="173" t="s">
        <v>1005</v>
      </c>
      <c r="T3" s="167" t="s">
        <v>1019</v>
      </c>
      <c r="U3" s="162"/>
      <c r="W3" s="173" t="s">
        <v>174</v>
      </c>
      <c r="X3" s="167" t="s">
        <v>1019</v>
      </c>
      <c r="Y3" s="162"/>
    </row>
    <row r="4" spans="2:25" ht="15.75" thickBot="1" x14ac:dyDescent="0.3">
      <c r="B4" s="219" t="s">
        <v>163</v>
      </c>
      <c r="C4" s="220"/>
      <c r="D4" s="227" t="str">
        <f>INDEX(DASHBOARD!$D$6:$D$405,MATCH('AB AHAD MIR (2)'!$D$1:$F$1,DASHBOARD!$B$6:$B$405,0))</f>
        <v>KULIGAM</v>
      </c>
      <c r="E4" s="227"/>
      <c r="F4" s="228"/>
      <c r="G4" s="112"/>
      <c r="H4" s="209" t="s">
        <v>190</v>
      </c>
      <c r="I4" s="210"/>
      <c r="J4" s="129">
        <v>392206</v>
      </c>
      <c r="K4" s="117"/>
      <c r="O4" s="199"/>
      <c r="P4" s="200"/>
      <c r="Q4" s="201"/>
      <c r="S4" s="163"/>
      <c r="T4" s="164"/>
      <c r="U4" s="165"/>
      <c r="W4" s="163"/>
      <c r="X4" s="164"/>
      <c r="Y4" s="165"/>
    </row>
    <row r="5" spans="2:25" ht="15.75" thickBot="1" x14ac:dyDescent="0.3">
      <c r="B5" s="211" t="s">
        <v>189</v>
      </c>
      <c r="C5" s="212"/>
      <c r="D5" s="229">
        <f>INDEX(DASHBOARD!$F$6:$F$405,MATCH('AB AHAD MIR (2)'!$D$1:$F$1,DASHBOARD!$B$6:$B$405,0))</f>
        <v>9545202564</v>
      </c>
      <c r="E5" s="229"/>
      <c r="F5" s="230"/>
      <c r="G5" s="112"/>
      <c r="H5" s="211" t="s">
        <v>192</v>
      </c>
      <c r="I5" s="212"/>
      <c r="J5" s="130">
        <f>SUM($F$10:$F$409)</f>
        <v>5961741</v>
      </c>
      <c r="K5" s="117"/>
      <c r="O5" s="177" t="s">
        <v>1020</v>
      </c>
      <c r="P5" s="173" t="s">
        <v>1004</v>
      </c>
      <c r="Q5" s="167" t="s">
        <v>1003</v>
      </c>
      <c r="S5" s="177" t="s">
        <v>1020</v>
      </c>
      <c r="T5" s="159" t="s">
        <v>1003</v>
      </c>
      <c r="W5" s="177" t="s">
        <v>1020</v>
      </c>
      <c r="X5" s="159" t="s">
        <v>1004</v>
      </c>
    </row>
    <row r="6" spans="2:25" ht="15.75" thickBot="1" x14ac:dyDescent="0.3">
      <c r="B6" s="114"/>
      <c r="C6" s="112"/>
      <c r="D6" s="112"/>
      <c r="E6" s="112"/>
      <c r="F6" s="112"/>
      <c r="G6" s="112"/>
      <c r="H6" s="213" t="s">
        <v>193</v>
      </c>
      <c r="I6" s="214"/>
      <c r="J6" s="131">
        <f>SUM($G$10:$G$409)</f>
        <v>1182000</v>
      </c>
      <c r="K6" s="117"/>
      <c r="O6" s="171" t="s">
        <v>1007</v>
      </c>
      <c r="P6" s="168"/>
      <c r="Q6" s="160"/>
      <c r="S6" s="172" t="s">
        <v>1010</v>
      </c>
      <c r="T6" s="175">
        <v>5457741</v>
      </c>
      <c r="W6" s="171" t="s">
        <v>1010</v>
      </c>
      <c r="X6" s="175">
        <v>265000</v>
      </c>
    </row>
    <row r="7" spans="2:25" ht="15.75" thickBot="1" x14ac:dyDescent="0.3">
      <c r="B7" s="114"/>
      <c r="C7" s="112"/>
      <c r="D7" s="112"/>
      <c r="E7" s="112"/>
      <c r="F7" s="112"/>
      <c r="G7" s="112"/>
      <c r="H7" s="181" t="s">
        <v>191</v>
      </c>
      <c r="I7" s="182"/>
      <c r="J7" s="132">
        <f>SUM($J$4:$J$5)-J6</f>
        <v>5171947</v>
      </c>
      <c r="K7" s="117"/>
      <c r="O7" s="171" t="s">
        <v>1008</v>
      </c>
      <c r="P7" s="168"/>
      <c r="Q7" s="160"/>
      <c r="S7" s="174" t="s">
        <v>999</v>
      </c>
      <c r="T7" s="175">
        <v>5100000</v>
      </c>
      <c r="W7" s="172" t="s">
        <v>1011</v>
      </c>
      <c r="X7" s="175">
        <v>400000</v>
      </c>
    </row>
    <row r="8" spans="2:25" ht="15.75" thickBot="1" x14ac:dyDescent="0.3">
      <c r="B8" s="115"/>
      <c r="C8" s="113"/>
      <c r="D8" s="113"/>
      <c r="E8" s="113"/>
      <c r="F8" s="113"/>
      <c r="G8" s="113"/>
      <c r="H8" s="113"/>
      <c r="I8" s="113"/>
      <c r="J8" s="113"/>
      <c r="K8" s="118"/>
      <c r="O8" s="171" t="s">
        <v>1009</v>
      </c>
      <c r="P8" s="168"/>
      <c r="Q8" s="160"/>
      <c r="S8" s="174" t="s">
        <v>1000</v>
      </c>
      <c r="T8" s="175">
        <v>357741</v>
      </c>
      <c r="W8" s="172" t="s">
        <v>1002</v>
      </c>
      <c r="X8" s="176">
        <v>665000</v>
      </c>
    </row>
    <row r="9" spans="2:25" ht="15.75" thickBot="1" x14ac:dyDescent="0.3">
      <c r="B9" s="109" t="s">
        <v>197</v>
      </c>
      <c r="C9" s="110" t="s">
        <v>166</v>
      </c>
      <c r="D9" s="110" t="s">
        <v>172</v>
      </c>
      <c r="E9" s="110" t="s">
        <v>194</v>
      </c>
      <c r="F9" s="110" t="s">
        <v>168</v>
      </c>
      <c r="G9" s="110" t="s">
        <v>169</v>
      </c>
      <c r="H9" s="110" t="s">
        <v>174</v>
      </c>
      <c r="I9" s="110" t="s">
        <v>998</v>
      </c>
      <c r="J9" s="110" t="s">
        <v>156</v>
      </c>
      <c r="K9" s="147" t="s">
        <v>167</v>
      </c>
      <c r="L9" s="157" t="s">
        <v>1006</v>
      </c>
      <c r="M9" s="158" t="s">
        <v>1005</v>
      </c>
      <c r="N9" s="138"/>
      <c r="O9" s="171" t="s">
        <v>1010</v>
      </c>
      <c r="P9" s="168">
        <v>280000</v>
      </c>
      <c r="Q9" s="160">
        <v>5457741</v>
      </c>
      <c r="S9" s="172" t="s">
        <v>1011</v>
      </c>
      <c r="T9" s="175">
        <v>300000</v>
      </c>
    </row>
    <row r="10" spans="2:25" ht="15.75" thickBot="1" x14ac:dyDescent="0.3">
      <c r="B10" s="144" t="s">
        <v>598</v>
      </c>
      <c r="C10" s="134">
        <v>43560</v>
      </c>
      <c r="D10" s="119" t="s">
        <v>999</v>
      </c>
      <c r="E10" s="122">
        <v>234</v>
      </c>
      <c r="F10" s="133">
        <v>156741</v>
      </c>
      <c r="G10" s="126">
        <v>2000</v>
      </c>
      <c r="H10" s="106"/>
      <c r="I10" s="139"/>
      <c r="J10" s="141">
        <f>($J$4+$F$10)-$G$10</f>
        <v>546947</v>
      </c>
      <c r="K10" s="148" t="str">
        <f>IF(AND(F10&lt;&gt;"",G10&lt;&gt;""),"ERROR","OK")</f>
        <v>ERROR</v>
      </c>
      <c r="L10" s="155" t="str">
        <f>TEXT(C10,"mmmm")</f>
        <v>April</v>
      </c>
      <c r="M10" s="156">
        <f>YEAR(C10)</f>
        <v>2019</v>
      </c>
      <c r="O10" s="171" t="s">
        <v>1011</v>
      </c>
      <c r="P10" s="168">
        <v>400000</v>
      </c>
      <c r="Q10" s="160">
        <v>300000</v>
      </c>
      <c r="S10" s="174" t="s">
        <v>999</v>
      </c>
      <c r="T10" s="175"/>
    </row>
    <row r="11" spans="2:25" x14ac:dyDescent="0.25">
      <c r="B11" s="144" t="s">
        <v>599</v>
      </c>
      <c r="C11" s="134">
        <v>43561</v>
      </c>
      <c r="D11" s="120" t="s">
        <v>1000</v>
      </c>
      <c r="E11" s="123">
        <v>235</v>
      </c>
      <c r="F11" s="133">
        <v>50000</v>
      </c>
      <c r="G11" s="127"/>
      <c r="H11" s="106"/>
      <c r="I11" s="136"/>
      <c r="J11" s="140">
        <f>($J10+$F11)-$G11</f>
        <v>596947</v>
      </c>
      <c r="K11" s="149" t="str">
        <f t="shared" ref="K11:K74" si="0">IF(AND(F11&lt;&gt;"",G11&lt;&gt;""),"ERROR","OK")</f>
        <v>OK</v>
      </c>
      <c r="L11" s="151" t="str">
        <f t="shared" ref="L11:L74" si="1">TEXT(C11,"mmmm")</f>
        <v>April</v>
      </c>
      <c r="M11" s="152">
        <f t="shared" ref="M11:M74" si="2">YEAR(C11)</f>
        <v>2019</v>
      </c>
      <c r="O11" s="171" t="s">
        <v>1012</v>
      </c>
      <c r="P11" s="168">
        <v>200000</v>
      </c>
      <c r="Q11" s="160">
        <v>200000</v>
      </c>
      <c r="S11" s="174" t="s">
        <v>1000</v>
      </c>
      <c r="T11" s="175">
        <v>300000</v>
      </c>
    </row>
    <row r="12" spans="2:25" ht="15.75" thickBot="1" x14ac:dyDescent="0.3">
      <c r="B12" s="144" t="s">
        <v>600</v>
      </c>
      <c r="C12" s="134">
        <v>43562</v>
      </c>
      <c r="D12" s="119"/>
      <c r="E12" s="123">
        <v>236</v>
      </c>
      <c r="F12" s="133"/>
      <c r="G12" s="127">
        <v>15000</v>
      </c>
      <c r="H12" s="106" t="s">
        <v>175</v>
      </c>
      <c r="I12" s="136">
        <v>123452</v>
      </c>
      <c r="J12" s="140">
        <f t="shared" ref="J12:J75" si="3">($J11+$F12)-$G12</f>
        <v>581947</v>
      </c>
      <c r="K12" s="149" t="str">
        <f t="shared" si="0"/>
        <v>OK</v>
      </c>
      <c r="L12" s="151" t="str">
        <f t="shared" si="1"/>
        <v>April</v>
      </c>
      <c r="M12" s="152">
        <f t="shared" si="2"/>
        <v>2019</v>
      </c>
      <c r="O12" s="171" t="s">
        <v>1013</v>
      </c>
      <c r="P12" s="168">
        <v>300000</v>
      </c>
      <c r="Q12" s="160">
        <v>2000</v>
      </c>
      <c r="S12" s="172" t="s">
        <v>1012</v>
      </c>
      <c r="T12" s="175">
        <v>200000</v>
      </c>
    </row>
    <row r="13" spans="2:25" x14ac:dyDescent="0.25">
      <c r="B13" s="144" t="s">
        <v>601</v>
      </c>
      <c r="C13" s="134">
        <v>43563</v>
      </c>
      <c r="D13" s="120" t="s">
        <v>1000</v>
      </c>
      <c r="E13" s="123">
        <v>237</v>
      </c>
      <c r="F13" s="133">
        <v>1000</v>
      </c>
      <c r="G13" s="127"/>
      <c r="H13" s="106"/>
      <c r="I13" s="136"/>
      <c r="J13" s="140">
        <f t="shared" si="3"/>
        <v>582947</v>
      </c>
      <c r="K13" s="149" t="str">
        <f t="shared" si="0"/>
        <v>OK</v>
      </c>
      <c r="L13" s="151" t="str">
        <f t="shared" si="1"/>
        <v>April</v>
      </c>
      <c r="M13" s="152">
        <f t="shared" si="2"/>
        <v>2019</v>
      </c>
      <c r="O13" s="171" t="s">
        <v>1014</v>
      </c>
      <c r="P13" s="168"/>
      <c r="Q13" s="160"/>
      <c r="S13" s="174" t="s">
        <v>999</v>
      </c>
      <c r="T13" s="175">
        <v>200000</v>
      </c>
    </row>
    <row r="14" spans="2:25" x14ac:dyDescent="0.25">
      <c r="B14" s="144" t="s">
        <v>602</v>
      </c>
      <c r="C14" s="134">
        <v>43564</v>
      </c>
      <c r="D14" s="119" t="s">
        <v>999</v>
      </c>
      <c r="E14" s="123">
        <v>238</v>
      </c>
      <c r="F14" s="133">
        <v>5000000</v>
      </c>
      <c r="G14" s="127"/>
      <c r="H14" s="106"/>
      <c r="I14" s="136"/>
      <c r="J14" s="140">
        <f t="shared" si="3"/>
        <v>5582947</v>
      </c>
      <c r="K14" s="149" t="str">
        <f t="shared" si="0"/>
        <v>OK</v>
      </c>
      <c r="L14" s="151" t="str">
        <f t="shared" si="1"/>
        <v>April</v>
      </c>
      <c r="M14" s="152">
        <f t="shared" si="2"/>
        <v>2019</v>
      </c>
      <c r="O14" s="171" t="s">
        <v>1015</v>
      </c>
      <c r="P14" s="168"/>
      <c r="Q14" s="160"/>
      <c r="S14" s="174" t="s">
        <v>1000</v>
      </c>
      <c r="T14" s="175"/>
    </row>
    <row r="15" spans="2:25" ht="15.75" thickBot="1" x14ac:dyDescent="0.3">
      <c r="B15" s="144" t="s">
        <v>603</v>
      </c>
      <c r="C15" s="134">
        <v>43565</v>
      </c>
      <c r="D15" s="120" t="s">
        <v>1000</v>
      </c>
      <c r="E15" s="123">
        <v>239</v>
      </c>
      <c r="F15" s="133"/>
      <c r="G15" s="127"/>
      <c r="H15" s="106"/>
      <c r="I15" s="136"/>
      <c r="J15" s="140">
        <f t="shared" si="3"/>
        <v>5582947</v>
      </c>
      <c r="K15" s="149" t="str">
        <f t="shared" si="0"/>
        <v>OK</v>
      </c>
      <c r="L15" s="151" t="str">
        <f t="shared" si="1"/>
        <v>April</v>
      </c>
      <c r="M15" s="152">
        <f t="shared" si="2"/>
        <v>2019</v>
      </c>
      <c r="O15" s="171" t="s">
        <v>1016</v>
      </c>
      <c r="P15" s="168"/>
      <c r="Q15" s="160"/>
      <c r="S15" s="172" t="s">
        <v>1013</v>
      </c>
      <c r="T15" s="175">
        <v>2000</v>
      </c>
    </row>
    <row r="16" spans="2:25" x14ac:dyDescent="0.25">
      <c r="B16" s="144" t="s">
        <v>604</v>
      </c>
      <c r="C16" s="134">
        <v>43566</v>
      </c>
      <c r="D16" s="120" t="s">
        <v>1000</v>
      </c>
      <c r="E16" s="123">
        <v>240</v>
      </c>
      <c r="F16" s="133">
        <v>2000</v>
      </c>
      <c r="G16" s="127">
        <v>50000</v>
      </c>
      <c r="H16" s="105" t="s">
        <v>175</v>
      </c>
      <c r="I16" s="136"/>
      <c r="J16" s="140">
        <f t="shared" si="3"/>
        <v>5534947</v>
      </c>
      <c r="K16" s="149" t="str">
        <f t="shared" si="0"/>
        <v>ERROR</v>
      </c>
      <c r="L16" s="151" t="str">
        <f t="shared" si="1"/>
        <v>April</v>
      </c>
      <c r="M16" s="152">
        <f t="shared" si="2"/>
        <v>2019</v>
      </c>
      <c r="O16" s="171" t="s">
        <v>1017</v>
      </c>
      <c r="P16" s="168"/>
      <c r="Q16" s="160"/>
      <c r="S16" s="174" t="s">
        <v>999</v>
      </c>
      <c r="T16" s="175"/>
    </row>
    <row r="17" spans="2:20" ht="15.75" thickBot="1" x14ac:dyDescent="0.3">
      <c r="B17" s="144" t="s">
        <v>605</v>
      </c>
      <c r="C17" s="134">
        <v>43567</v>
      </c>
      <c r="D17" s="119" t="s">
        <v>999</v>
      </c>
      <c r="E17" s="123">
        <v>241</v>
      </c>
      <c r="F17" s="133"/>
      <c r="G17" s="127"/>
      <c r="H17" s="106"/>
      <c r="I17" s="136"/>
      <c r="J17" s="140">
        <f t="shared" si="3"/>
        <v>5534947</v>
      </c>
      <c r="K17" s="149" t="str">
        <f t="shared" si="0"/>
        <v>OK</v>
      </c>
      <c r="L17" s="151" t="str">
        <f t="shared" si="1"/>
        <v>April</v>
      </c>
      <c r="M17" s="152">
        <f t="shared" si="2"/>
        <v>2019</v>
      </c>
      <c r="O17" s="172" t="s">
        <v>1018</v>
      </c>
      <c r="P17" s="168"/>
      <c r="Q17" s="160"/>
      <c r="S17" s="174" t="s">
        <v>1000</v>
      </c>
      <c r="T17" s="175">
        <v>2000</v>
      </c>
    </row>
    <row r="18" spans="2:20" ht="15.75" thickBot="1" x14ac:dyDescent="0.3">
      <c r="B18" s="144" t="s">
        <v>606</v>
      </c>
      <c r="C18" s="134">
        <v>43568</v>
      </c>
      <c r="D18" s="120" t="s">
        <v>1000</v>
      </c>
      <c r="E18" s="123">
        <v>242</v>
      </c>
      <c r="F18" s="133"/>
      <c r="G18" s="127"/>
      <c r="H18" s="106"/>
      <c r="I18" s="136"/>
      <c r="J18" s="140">
        <f t="shared" si="3"/>
        <v>5534947</v>
      </c>
      <c r="K18" s="149" t="str">
        <f t="shared" si="0"/>
        <v>OK</v>
      </c>
      <c r="L18" s="151" t="str">
        <f t="shared" si="1"/>
        <v>April</v>
      </c>
      <c r="M18" s="152">
        <f t="shared" si="2"/>
        <v>2019</v>
      </c>
      <c r="O18" s="172" t="s">
        <v>1002</v>
      </c>
      <c r="P18" s="169">
        <v>1180000</v>
      </c>
      <c r="Q18" s="161">
        <v>5959741</v>
      </c>
      <c r="S18" s="172" t="s">
        <v>1002</v>
      </c>
      <c r="T18" s="176">
        <v>5959741</v>
      </c>
    </row>
    <row r="19" spans="2:20" x14ac:dyDescent="0.25">
      <c r="B19" s="144" t="s">
        <v>607</v>
      </c>
      <c r="C19" s="134">
        <v>43569</v>
      </c>
      <c r="D19" s="119" t="s">
        <v>999</v>
      </c>
      <c r="E19" s="123">
        <v>243</v>
      </c>
      <c r="F19" s="133">
        <v>50000</v>
      </c>
      <c r="G19" s="127"/>
      <c r="H19" s="106"/>
      <c r="I19" s="136"/>
      <c r="J19" s="140">
        <f t="shared" si="3"/>
        <v>5584947</v>
      </c>
      <c r="K19" s="149" t="str">
        <f t="shared" si="0"/>
        <v>OK</v>
      </c>
      <c r="L19" s="151" t="str">
        <f t="shared" si="1"/>
        <v>April</v>
      </c>
      <c r="M19" s="152">
        <f t="shared" si="2"/>
        <v>2019</v>
      </c>
    </row>
    <row r="20" spans="2:20" x14ac:dyDescent="0.25">
      <c r="B20" s="144" t="s">
        <v>608</v>
      </c>
      <c r="C20" s="134">
        <v>43570</v>
      </c>
      <c r="D20" s="120" t="s">
        <v>1000</v>
      </c>
      <c r="E20" s="123">
        <v>244</v>
      </c>
      <c r="F20" s="133"/>
      <c r="G20" s="127"/>
      <c r="H20" s="106"/>
      <c r="I20" s="136"/>
      <c r="J20" s="140">
        <f t="shared" si="3"/>
        <v>5584947</v>
      </c>
      <c r="K20" s="149" t="str">
        <f t="shared" si="0"/>
        <v>OK</v>
      </c>
      <c r="L20" s="151" t="str">
        <f t="shared" si="1"/>
        <v>April</v>
      </c>
      <c r="M20" s="152">
        <f t="shared" si="2"/>
        <v>2019</v>
      </c>
    </row>
    <row r="21" spans="2:20" x14ac:dyDescent="0.25">
      <c r="B21" s="144" t="s">
        <v>609</v>
      </c>
      <c r="C21" s="134">
        <v>43571</v>
      </c>
      <c r="D21" s="120" t="s">
        <v>1000</v>
      </c>
      <c r="E21" s="123">
        <v>245</v>
      </c>
      <c r="F21" s="133"/>
      <c r="G21" s="127"/>
      <c r="H21" s="106"/>
      <c r="I21" s="136"/>
      <c r="J21" s="140">
        <f t="shared" si="3"/>
        <v>5584947</v>
      </c>
      <c r="K21" s="149" t="str">
        <f t="shared" si="0"/>
        <v>OK</v>
      </c>
      <c r="L21" s="151" t="str">
        <f t="shared" si="1"/>
        <v>April</v>
      </c>
      <c r="M21" s="152">
        <f t="shared" si="2"/>
        <v>2019</v>
      </c>
    </row>
    <row r="22" spans="2:20" x14ac:dyDescent="0.25">
      <c r="B22" s="144" t="s">
        <v>610</v>
      </c>
      <c r="C22" s="134">
        <v>43572</v>
      </c>
      <c r="D22" s="119" t="s">
        <v>999</v>
      </c>
      <c r="E22" s="123">
        <v>246</v>
      </c>
      <c r="F22" s="133"/>
      <c r="G22" s="127">
        <v>15000</v>
      </c>
      <c r="H22" s="105" t="s">
        <v>175</v>
      </c>
      <c r="I22" s="136"/>
      <c r="J22" s="140">
        <f t="shared" si="3"/>
        <v>5569947</v>
      </c>
      <c r="K22" s="149" t="str">
        <f t="shared" si="0"/>
        <v>OK</v>
      </c>
      <c r="L22" s="151" t="str">
        <f t="shared" si="1"/>
        <v>April</v>
      </c>
      <c r="M22" s="152">
        <f t="shared" si="2"/>
        <v>2019</v>
      </c>
    </row>
    <row r="23" spans="2:20" x14ac:dyDescent="0.25">
      <c r="B23" s="144" t="s">
        <v>611</v>
      </c>
      <c r="C23" s="134">
        <v>43573</v>
      </c>
      <c r="D23" s="120" t="s">
        <v>1000</v>
      </c>
      <c r="E23" s="123">
        <v>247</v>
      </c>
      <c r="F23" s="133"/>
      <c r="G23" s="127"/>
      <c r="H23" s="106"/>
      <c r="I23" s="136"/>
      <c r="J23" s="140">
        <f t="shared" si="3"/>
        <v>5569947</v>
      </c>
      <c r="K23" s="149" t="str">
        <f t="shared" si="0"/>
        <v>OK</v>
      </c>
      <c r="L23" s="151" t="str">
        <f t="shared" si="1"/>
        <v>April</v>
      </c>
      <c r="M23" s="152">
        <f t="shared" si="2"/>
        <v>2019</v>
      </c>
    </row>
    <row r="24" spans="2:20" x14ac:dyDescent="0.25">
      <c r="B24" s="144" t="s">
        <v>612</v>
      </c>
      <c r="C24" s="134">
        <v>43574</v>
      </c>
      <c r="D24" s="119" t="s">
        <v>999</v>
      </c>
      <c r="E24" s="123">
        <v>248</v>
      </c>
      <c r="F24" s="133"/>
      <c r="G24" s="127"/>
      <c r="H24" s="106"/>
      <c r="I24" s="136"/>
      <c r="J24" s="140">
        <f t="shared" si="3"/>
        <v>5569947</v>
      </c>
      <c r="K24" s="149" t="str">
        <f t="shared" si="0"/>
        <v>OK</v>
      </c>
      <c r="L24" s="151" t="str">
        <f t="shared" si="1"/>
        <v>April</v>
      </c>
      <c r="M24" s="152">
        <f t="shared" si="2"/>
        <v>2019</v>
      </c>
    </row>
    <row r="25" spans="2:20" x14ac:dyDescent="0.25">
      <c r="B25" s="144" t="s">
        <v>613</v>
      </c>
      <c r="C25" s="134">
        <v>43575</v>
      </c>
      <c r="D25" s="120" t="s">
        <v>1000</v>
      </c>
      <c r="E25" s="123">
        <v>249</v>
      </c>
      <c r="F25" s="133"/>
      <c r="G25" s="127">
        <v>50000</v>
      </c>
      <c r="H25" s="106" t="s">
        <v>176</v>
      </c>
      <c r="I25" s="136">
        <v>123453</v>
      </c>
      <c r="J25" s="140">
        <f t="shared" si="3"/>
        <v>5519947</v>
      </c>
      <c r="K25" s="149" t="str">
        <f t="shared" si="0"/>
        <v>OK</v>
      </c>
      <c r="L25" s="151" t="str">
        <f t="shared" si="1"/>
        <v>April</v>
      </c>
      <c r="M25" s="152">
        <f t="shared" si="2"/>
        <v>2019</v>
      </c>
    </row>
    <row r="26" spans="2:20" x14ac:dyDescent="0.25">
      <c r="B26" s="144" t="s">
        <v>614</v>
      </c>
      <c r="C26" s="134">
        <v>43576</v>
      </c>
      <c r="D26" s="120" t="s">
        <v>1000</v>
      </c>
      <c r="E26" s="123">
        <v>250</v>
      </c>
      <c r="F26" s="133"/>
      <c r="G26" s="127"/>
      <c r="H26" s="106"/>
      <c r="I26" s="136"/>
      <c r="J26" s="140">
        <f t="shared" si="3"/>
        <v>5519947</v>
      </c>
      <c r="K26" s="149" t="str">
        <f t="shared" si="0"/>
        <v>OK</v>
      </c>
      <c r="L26" s="151" t="str">
        <f t="shared" si="1"/>
        <v>April</v>
      </c>
      <c r="M26" s="152">
        <f t="shared" si="2"/>
        <v>2019</v>
      </c>
    </row>
    <row r="27" spans="2:20" x14ac:dyDescent="0.25">
      <c r="B27" s="144" t="s">
        <v>615</v>
      </c>
      <c r="C27" s="134">
        <v>43577</v>
      </c>
      <c r="D27" s="119" t="s">
        <v>999</v>
      </c>
      <c r="E27" s="123">
        <v>251</v>
      </c>
      <c r="F27" s="133">
        <v>50000</v>
      </c>
      <c r="G27" s="127"/>
      <c r="H27" s="106"/>
      <c r="I27" s="136"/>
      <c r="J27" s="140">
        <f t="shared" si="3"/>
        <v>5569947</v>
      </c>
      <c r="K27" s="149" t="str">
        <f t="shared" si="0"/>
        <v>OK</v>
      </c>
      <c r="L27" s="151" t="str">
        <f t="shared" si="1"/>
        <v>April</v>
      </c>
      <c r="M27" s="152">
        <f t="shared" si="2"/>
        <v>2019</v>
      </c>
    </row>
    <row r="28" spans="2:20" x14ac:dyDescent="0.25">
      <c r="B28" s="144" t="s">
        <v>616</v>
      </c>
      <c r="C28" s="134">
        <v>43578</v>
      </c>
      <c r="D28" s="120" t="s">
        <v>1000</v>
      </c>
      <c r="E28" s="123">
        <v>252</v>
      </c>
      <c r="F28" s="133"/>
      <c r="G28" s="127"/>
      <c r="H28" s="106"/>
      <c r="I28" s="136"/>
      <c r="J28" s="140">
        <f t="shared" si="3"/>
        <v>5569947</v>
      </c>
      <c r="K28" s="149" t="str">
        <f t="shared" si="0"/>
        <v>OK</v>
      </c>
      <c r="L28" s="151" t="str">
        <f t="shared" si="1"/>
        <v>April</v>
      </c>
      <c r="M28" s="152">
        <f t="shared" si="2"/>
        <v>2019</v>
      </c>
    </row>
    <row r="29" spans="2:20" x14ac:dyDescent="0.25">
      <c r="B29" s="144" t="s">
        <v>617</v>
      </c>
      <c r="C29" s="134">
        <v>43579</v>
      </c>
      <c r="D29" s="120" t="s">
        <v>1000</v>
      </c>
      <c r="E29" s="123">
        <v>253</v>
      </c>
      <c r="F29" s="133"/>
      <c r="G29" s="127">
        <v>100000</v>
      </c>
      <c r="H29" s="105" t="s">
        <v>175</v>
      </c>
      <c r="I29" s="136"/>
      <c r="J29" s="140">
        <f t="shared" si="3"/>
        <v>5469947</v>
      </c>
      <c r="K29" s="149" t="str">
        <f t="shared" si="0"/>
        <v>OK</v>
      </c>
      <c r="L29" s="151" t="str">
        <f t="shared" si="1"/>
        <v>April</v>
      </c>
      <c r="M29" s="152">
        <f t="shared" si="2"/>
        <v>2019</v>
      </c>
    </row>
    <row r="30" spans="2:20" x14ac:dyDescent="0.25">
      <c r="B30" s="144" t="s">
        <v>618</v>
      </c>
      <c r="C30" s="134">
        <v>43580</v>
      </c>
      <c r="D30" s="119" t="s">
        <v>999</v>
      </c>
      <c r="E30" s="123">
        <v>254</v>
      </c>
      <c r="F30" s="133"/>
      <c r="G30" s="127"/>
      <c r="H30" s="106"/>
      <c r="I30" s="136"/>
      <c r="J30" s="140">
        <f t="shared" si="3"/>
        <v>5469947</v>
      </c>
      <c r="K30" s="149" t="str">
        <f t="shared" si="0"/>
        <v>OK</v>
      </c>
      <c r="L30" s="151" t="str">
        <f t="shared" si="1"/>
        <v>April</v>
      </c>
      <c r="M30" s="152">
        <f t="shared" si="2"/>
        <v>2019</v>
      </c>
    </row>
    <row r="31" spans="2:20" x14ac:dyDescent="0.25">
      <c r="B31" s="144" t="s">
        <v>619</v>
      </c>
      <c r="C31" s="134">
        <v>43581</v>
      </c>
      <c r="D31" s="120" t="s">
        <v>1000</v>
      </c>
      <c r="E31" s="123">
        <v>255</v>
      </c>
      <c r="F31" s="133"/>
      <c r="G31" s="127"/>
      <c r="H31" s="106"/>
      <c r="I31" s="136"/>
      <c r="J31" s="140">
        <f t="shared" si="3"/>
        <v>5469947</v>
      </c>
      <c r="K31" s="149" t="str">
        <f t="shared" si="0"/>
        <v>OK</v>
      </c>
      <c r="L31" s="151" t="str">
        <f t="shared" si="1"/>
        <v>April</v>
      </c>
      <c r="M31" s="152">
        <f t="shared" si="2"/>
        <v>2019</v>
      </c>
    </row>
    <row r="32" spans="2:20" x14ac:dyDescent="0.25">
      <c r="B32" s="144" t="s">
        <v>620</v>
      </c>
      <c r="C32" s="134">
        <v>43582</v>
      </c>
      <c r="D32" s="119" t="s">
        <v>999</v>
      </c>
      <c r="E32" s="123">
        <v>256</v>
      </c>
      <c r="F32" s="133"/>
      <c r="G32" s="127"/>
      <c r="H32" s="106"/>
      <c r="I32" s="136"/>
      <c r="J32" s="140">
        <f t="shared" si="3"/>
        <v>5469947</v>
      </c>
      <c r="K32" s="149" t="str">
        <f t="shared" si="0"/>
        <v>OK</v>
      </c>
      <c r="L32" s="151" t="str">
        <f t="shared" si="1"/>
        <v>April</v>
      </c>
      <c r="M32" s="152">
        <f t="shared" si="2"/>
        <v>2019</v>
      </c>
    </row>
    <row r="33" spans="2:13" x14ac:dyDescent="0.25">
      <c r="B33" s="144" t="s">
        <v>621</v>
      </c>
      <c r="C33" s="134">
        <v>43583</v>
      </c>
      <c r="D33" s="120" t="s">
        <v>1000</v>
      </c>
      <c r="E33" s="123">
        <v>257</v>
      </c>
      <c r="F33" s="133">
        <v>50000</v>
      </c>
      <c r="G33" s="127"/>
      <c r="H33" s="106"/>
      <c r="I33" s="136"/>
      <c r="J33" s="140">
        <f t="shared" si="3"/>
        <v>5519947</v>
      </c>
      <c r="K33" s="149" t="str">
        <f t="shared" si="0"/>
        <v>OK</v>
      </c>
      <c r="L33" s="151" t="str">
        <f t="shared" si="1"/>
        <v>April</v>
      </c>
      <c r="M33" s="152">
        <f t="shared" si="2"/>
        <v>2019</v>
      </c>
    </row>
    <row r="34" spans="2:13" x14ac:dyDescent="0.25">
      <c r="B34" s="144" t="s">
        <v>622</v>
      </c>
      <c r="C34" s="134">
        <v>43584</v>
      </c>
      <c r="D34" s="120" t="s">
        <v>1000</v>
      </c>
      <c r="E34" s="123">
        <v>258</v>
      </c>
      <c r="F34" s="133"/>
      <c r="G34" s="127"/>
      <c r="H34" s="106"/>
      <c r="I34" s="136"/>
      <c r="J34" s="140">
        <f t="shared" si="3"/>
        <v>5519947</v>
      </c>
      <c r="K34" s="149" t="str">
        <f t="shared" si="0"/>
        <v>OK</v>
      </c>
      <c r="L34" s="151" t="str">
        <f t="shared" si="1"/>
        <v>April</v>
      </c>
      <c r="M34" s="152">
        <f t="shared" si="2"/>
        <v>2019</v>
      </c>
    </row>
    <row r="35" spans="2:13" x14ac:dyDescent="0.25">
      <c r="B35" s="144" t="s">
        <v>623</v>
      </c>
      <c r="C35" s="134">
        <v>43585</v>
      </c>
      <c r="D35" s="119" t="s">
        <v>999</v>
      </c>
      <c r="E35" s="123">
        <v>259</v>
      </c>
      <c r="F35" s="133"/>
      <c r="G35" s="127">
        <v>50000</v>
      </c>
      <c r="H35" s="105" t="s">
        <v>175</v>
      </c>
      <c r="I35" s="136"/>
      <c r="J35" s="140">
        <f t="shared" si="3"/>
        <v>5469947</v>
      </c>
      <c r="K35" s="149" t="str">
        <f t="shared" si="0"/>
        <v>OK</v>
      </c>
      <c r="L35" s="151" t="str">
        <f t="shared" si="1"/>
        <v>April</v>
      </c>
      <c r="M35" s="152">
        <f t="shared" si="2"/>
        <v>2019</v>
      </c>
    </row>
    <row r="36" spans="2:13" x14ac:dyDescent="0.25">
      <c r="B36" s="144" t="s">
        <v>624</v>
      </c>
      <c r="C36" s="134">
        <v>43586</v>
      </c>
      <c r="D36" s="120" t="s">
        <v>1000</v>
      </c>
      <c r="E36" s="123">
        <v>260</v>
      </c>
      <c r="F36" s="133"/>
      <c r="G36" s="127"/>
      <c r="H36" s="106"/>
      <c r="I36" s="136"/>
      <c r="J36" s="140">
        <f t="shared" si="3"/>
        <v>5469947</v>
      </c>
      <c r="K36" s="149" t="str">
        <f t="shared" si="0"/>
        <v>OK</v>
      </c>
      <c r="L36" s="151" t="str">
        <f t="shared" si="1"/>
        <v>May</v>
      </c>
      <c r="M36" s="152">
        <f t="shared" si="2"/>
        <v>2019</v>
      </c>
    </row>
    <row r="37" spans="2:13" x14ac:dyDescent="0.25">
      <c r="B37" s="144" t="s">
        <v>625</v>
      </c>
      <c r="C37" s="134">
        <v>43587</v>
      </c>
      <c r="D37" s="119" t="s">
        <v>999</v>
      </c>
      <c r="E37" s="123">
        <v>261</v>
      </c>
      <c r="F37" s="133"/>
      <c r="G37" s="127">
        <v>100000</v>
      </c>
      <c r="H37" s="105" t="s">
        <v>175</v>
      </c>
      <c r="I37" s="136"/>
      <c r="J37" s="140">
        <f t="shared" si="3"/>
        <v>5369947</v>
      </c>
      <c r="K37" s="149" t="str">
        <f t="shared" si="0"/>
        <v>OK</v>
      </c>
      <c r="L37" s="151" t="str">
        <f t="shared" si="1"/>
        <v>May</v>
      </c>
      <c r="M37" s="152">
        <f t="shared" si="2"/>
        <v>2019</v>
      </c>
    </row>
    <row r="38" spans="2:13" x14ac:dyDescent="0.25">
      <c r="B38" s="144" t="s">
        <v>626</v>
      </c>
      <c r="C38" s="134">
        <v>43588</v>
      </c>
      <c r="D38" s="120" t="s">
        <v>1000</v>
      </c>
      <c r="E38" s="123">
        <v>262</v>
      </c>
      <c r="F38" s="133">
        <v>50000</v>
      </c>
      <c r="G38" s="127"/>
      <c r="H38" s="106"/>
      <c r="I38" s="136"/>
      <c r="J38" s="140">
        <f t="shared" si="3"/>
        <v>5419947</v>
      </c>
      <c r="K38" s="149" t="str">
        <f t="shared" si="0"/>
        <v>OK</v>
      </c>
      <c r="L38" s="151" t="str">
        <f t="shared" si="1"/>
        <v>May</v>
      </c>
      <c r="M38" s="152">
        <f t="shared" si="2"/>
        <v>2019</v>
      </c>
    </row>
    <row r="39" spans="2:13" x14ac:dyDescent="0.25">
      <c r="B39" s="144" t="s">
        <v>627</v>
      </c>
      <c r="C39" s="134">
        <v>43589</v>
      </c>
      <c r="D39" s="119" t="s">
        <v>999</v>
      </c>
      <c r="E39" s="123">
        <v>263</v>
      </c>
      <c r="F39" s="133"/>
      <c r="G39" s="127"/>
      <c r="H39" s="106"/>
      <c r="I39" s="136"/>
      <c r="J39" s="140">
        <f t="shared" si="3"/>
        <v>5419947</v>
      </c>
      <c r="K39" s="149" t="str">
        <f t="shared" si="0"/>
        <v>OK</v>
      </c>
      <c r="L39" s="151" t="str">
        <f t="shared" si="1"/>
        <v>May</v>
      </c>
      <c r="M39" s="152">
        <f t="shared" si="2"/>
        <v>2019</v>
      </c>
    </row>
    <row r="40" spans="2:13" x14ac:dyDescent="0.25">
      <c r="B40" s="144" t="s">
        <v>628</v>
      </c>
      <c r="C40" s="134">
        <v>43590</v>
      </c>
      <c r="D40" s="120" t="s">
        <v>1000</v>
      </c>
      <c r="E40" s="123">
        <v>264</v>
      </c>
      <c r="F40" s="133"/>
      <c r="G40" s="127"/>
      <c r="H40" s="106"/>
      <c r="I40" s="136"/>
      <c r="J40" s="140">
        <f t="shared" si="3"/>
        <v>5419947</v>
      </c>
      <c r="K40" s="149" t="str">
        <f t="shared" si="0"/>
        <v>OK</v>
      </c>
      <c r="L40" s="151" t="str">
        <f t="shared" si="1"/>
        <v>May</v>
      </c>
      <c r="M40" s="152">
        <f t="shared" si="2"/>
        <v>2019</v>
      </c>
    </row>
    <row r="41" spans="2:13" x14ac:dyDescent="0.25">
      <c r="B41" s="144" t="s">
        <v>629</v>
      </c>
      <c r="C41" s="134">
        <v>43591</v>
      </c>
      <c r="D41" s="119" t="s">
        <v>999</v>
      </c>
      <c r="E41" s="123">
        <v>265</v>
      </c>
      <c r="F41" s="133"/>
      <c r="G41" s="127"/>
      <c r="H41" s="106"/>
      <c r="I41" s="136"/>
      <c r="J41" s="140">
        <f t="shared" si="3"/>
        <v>5419947</v>
      </c>
      <c r="K41" s="149" t="str">
        <f t="shared" si="0"/>
        <v>OK</v>
      </c>
      <c r="L41" s="151" t="str">
        <f t="shared" si="1"/>
        <v>May</v>
      </c>
      <c r="M41" s="152">
        <f t="shared" si="2"/>
        <v>2019</v>
      </c>
    </row>
    <row r="42" spans="2:13" x14ac:dyDescent="0.25">
      <c r="B42" s="144" t="s">
        <v>630</v>
      </c>
      <c r="C42" s="134">
        <v>43592</v>
      </c>
      <c r="D42" s="120" t="s">
        <v>1000</v>
      </c>
      <c r="E42" s="123">
        <v>266</v>
      </c>
      <c r="F42" s="133"/>
      <c r="G42" s="127"/>
      <c r="H42" s="106"/>
      <c r="I42" s="136"/>
      <c r="J42" s="140">
        <f t="shared" si="3"/>
        <v>5419947</v>
      </c>
      <c r="K42" s="149" t="str">
        <f t="shared" si="0"/>
        <v>OK</v>
      </c>
      <c r="L42" s="151" t="str">
        <f t="shared" si="1"/>
        <v>May</v>
      </c>
      <c r="M42" s="152">
        <f t="shared" si="2"/>
        <v>2019</v>
      </c>
    </row>
    <row r="43" spans="2:13" x14ac:dyDescent="0.25">
      <c r="B43" s="144" t="s">
        <v>631</v>
      </c>
      <c r="C43" s="134">
        <v>43593</v>
      </c>
      <c r="D43" s="119" t="s">
        <v>999</v>
      </c>
      <c r="E43" s="123">
        <v>267</v>
      </c>
      <c r="F43" s="133"/>
      <c r="G43" s="127">
        <v>50000</v>
      </c>
      <c r="H43" s="106" t="s">
        <v>176</v>
      </c>
      <c r="I43" s="136">
        <v>123454</v>
      </c>
      <c r="J43" s="140">
        <f t="shared" si="3"/>
        <v>5369947</v>
      </c>
      <c r="K43" s="149" t="str">
        <f t="shared" si="0"/>
        <v>OK</v>
      </c>
      <c r="L43" s="151" t="str">
        <f t="shared" si="1"/>
        <v>May</v>
      </c>
      <c r="M43" s="152">
        <f t="shared" si="2"/>
        <v>2019</v>
      </c>
    </row>
    <row r="44" spans="2:13" x14ac:dyDescent="0.25">
      <c r="B44" s="144" t="s">
        <v>632</v>
      </c>
      <c r="C44" s="134">
        <v>43594</v>
      </c>
      <c r="D44" s="120" t="s">
        <v>1000</v>
      </c>
      <c r="E44" s="123">
        <v>268</v>
      </c>
      <c r="F44" s="133"/>
      <c r="G44" s="127"/>
      <c r="H44" s="106"/>
      <c r="I44" s="136"/>
      <c r="J44" s="140">
        <f t="shared" si="3"/>
        <v>5369947</v>
      </c>
      <c r="K44" s="149" t="str">
        <f t="shared" si="0"/>
        <v>OK</v>
      </c>
      <c r="L44" s="151" t="str">
        <f t="shared" si="1"/>
        <v>May</v>
      </c>
      <c r="M44" s="152">
        <f t="shared" si="2"/>
        <v>2019</v>
      </c>
    </row>
    <row r="45" spans="2:13" x14ac:dyDescent="0.25">
      <c r="B45" s="144" t="s">
        <v>633</v>
      </c>
      <c r="C45" s="134">
        <v>43595</v>
      </c>
      <c r="D45" s="120" t="s">
        <v>1000</v>
      </c>
      <c r="E45" s="123">
        <v>269</v>
      </c>
      <c r="F45" s="133">
        <v>50000</v>
      </c>
      <c r="G45" s="127"/>
      <c r="H45" s="106"/>
      <c r="I45" s="136"/>
      <c r="J45" s="140">
        <f t="shared" si="3"/>
        <v>5419947</v>
      </c>
      <c r="K45" s="149" t="str">
        <f t="shared" si="0"/>
        <v>OK</v>
      </c>
      <c r="L45" s="151" t="str">
        <f t="shared" si="1"/>
        <v>May</v>
      </c>
      <c r="M45" s="152">
        <f t="shared" si="2"/>
        <v>2019</v>
      </c>
    </row>
    <row r="46" spans="2:13" x14ac:dyDescent="0.25">
      <c r="B46" s="144" t="s">
        <v>634</v>
      </c>
      <c r="C46" s="134">
        <v>43596</v>
      </c>
      <c r="D46" s="119" t="s">
        <v>999</v>
      </c>
      <c r="E46" s="123">
        <v>270</v>
      </c>
      <c r="F46" s="133"/>
      <c r="G46" s="127"/>
      <c r="H46" s="106"/>
      <c r="I46" s="136"/>
      <c r="J46" s="140">
        <f t="shared" si="3"/>
        <v>5419947</v>
      </c>
      <c r="K46" s="149" t="str">
        <f t="shared" si="0"/>
        <v>OK</v>
      </c>
      <c r="L46" s="151" t="str">
        <f t="shared" si="1"/>
        <v>May</v>
      </c>
      <c r="M46" s="152">
        <f t="shared" si="2"/>
        <v>2019</v>
      </c>
    </row>
    <row r="47" spans="2:13" x14ac:dyDescent="0.25">
      <c r="B47" s="144" t="s">
        <v>635</v>
      </c>
      <c r="C47" s="134">
        <v>43597</v>
      </c>
      <c r="D47" s="120" t="s">
        <v>1000</v>
      </c>
      <c r="E47" s="123">
        <v>271</v>
      </c>
      <c r="F47" s="133"/>
      <c r="G47" s="127"/>
      <c r="H47" s="106"/>
      <c r="I47" s="136"/>
      <c r="J47" s="140">
        <f t="shared" si="3"/>
        <v>5419947</v>
      </c>
      <c r="K47" s="149" t="str">
        <f t="shared" si="0"/>
        <v>OK</v>
      </c>
      <c r="L47" s="151" t="str">
        <f t="shared" si="1"/>
        <v>May</v>
      </c>
      <c r="M47" s="152">
        <f t="shared" si="2"/>
        <v>2019</v>
      </c>
    </row>
    <row r="48" spans="2:13" x14ac:dyDescent="0.25">
      <c r="B48" s="144" t="s">
        <v>636</v>
      </c>
      <c r="C48" s="134">
        <v>43598</v>
      </c>
      <c r="D48" s="119" t="s">
        <v>999</v>
      </c>
      <c r="E48" s="123">
        <v>272</v>
      </c>
      <c r="F48" s="133"/>
      <c r="G48" s="127">
        <v>100000</v>
      </c>
      <c r="H48" s="106" t="s">
        <v>176</v>
      </c>
      <c r="I48" s="136">
        <v>123455</v>
      </c>
      <c r="J48" s="140">
        <f t="shared" si="3"/>
        <v>5319947</v>
      </c>
      <c r="K48" s="149" t="str">
        <f t="shared" si="0"/>
        <v>OK</v>
      </c>
      <c r="L48" s="151" t="str">
        <f t="shared" si="1"/>
        <v>May</v>
      </c>
      <c r="M48" s="152">
        <f t="shared" si="2"/>
        <v>2019</v>
      </c>
    </row>
    <row r="49" spans="2:13" x14ac:dyDescent="0.25">
      <c r="B49" s="144" t="s">
        <v>637</v>
      </c>
      <c r="C49" s="134">
        <v>43599</v>
      </c>
      <c r="D49" s="120" t="s">
        <v>1000</v>
      </c>
      <c r="E49" s="123">
        <v>273</v>
      </c>
      <c r="F49" s="133"/>
      <c r="G49" s="127"/>
      <c r="H49" s="106"/>
      <c r="I49" s="136"/>
      <c r="J49" s="140">
        <f t="shared" si="3"/>
        <v>5319947</v>
      </c>
      <c r="K49" s="149" t="str">
        <f t="shared" si="0"/>
        <v>OK</v>
      </c>
      <c r="L49" s="151" t="str">
        <f t="shared" si="1"/>
        <v>May</v>
      </c>
      <c r="M49" s="152">
        <f t="shared" si="2"/>
        <v>2019</v>
      </c>
    </row>
    <row r="50" spans="2:13" x14ac:dyDescent="0.25">
      <c r="B50" s="144" t="s">
        <v>638</v>
      </c>
      <c r="C50" s="134">
        <v>43600</v>
      </c>
      <c r="D50" s="120" t="s">
        <v>1000</v>
      </c>
      <c r="E50" s="123">
        <v>274</v>
      </c>
      <c r="F50" s="133">
        <v>100000</v>
      </c>
      <c r="G50" s="127"/>
      <c r="H50" s="106"/>
      <c r="I50" s="136"/>
      <c r="J50" s="140">
        <f t="shared" si="3"/>
        <v>5419947</v>
      </c>
      <c r="K50" s="149" t="str">
        <f t="shared" si="0"/>
        <v>OK</v>
      </c>
      <c r="L50" s="151" t="str">
        <f t="shared" si="1"/>
        <v>May</v>
      </c>
      <c r="M50" s="152">
        <f t="shared" si="2"/>
        <v>2019</v>
      </c>
    </row>
    <row r="51" spans="2:13" x14ac:dyDescent="0.25">
      <c r="B51" s="144" t="s">
        <v>639</v>
      </c>
      <c r="C51" s="134">
        <v>43601</v>
      </c>
      <c r="D51" s="119" t="s">
        <v>999</v>
      </c>
      <c r="E51" s="123">
        <v>275</v>
      </c>
      <c r="F51" s="133"/>
      <c r="G51" s="127"/>
      <c r="H51" s="106"/>
      <c r="I51" s="136"/>
      <c r="J51" s="140">
        <f t="shared" si="3"/>
        <v>5419947</v>
      </c>
      <c r="K51" s="149" t="str">
        <f t="shared" si="0"/>
        <v>OK</v>
      </c>
      <c r="L51" s="151" t="str">
        <f t="shared" si="1"/>
        <v>May</v>
      </c>
      <c r="M51" s="152">
        <f t="shared" si="2"/>
        <v>2019</v>
      </c>
    </row>
    <row r="52" spans="2:13" x14ac:dyDescent="0.25">
      <c r="B52" s="144" t="s">
        <v>640</v>
      </c>
      <c r="C52" s="134">
        <v>43602</v>
      </c>
      <c r="D52" s="120" t="s">
        <v>1000</v>
      </c>
      <c r="E52" s="123">
        <v>276</v>
      </c>
      <c r="F52" s="133"/>
      <c r="G52" s="127"/>
      <c r="H52" s="106"/>
      <c r="I52" s="136"/>
      <c r="J52" s="140">
        <f t="shared" si="3"/>
        <v>5419947</v>
      </c>
      <c r="K52" s="149" t="str">
        <f t="shared" si="0"/>
        <v>OK</v>
      </c>
      <c r="L52" s="151" t="str">
        <f t="shared" si="1"/>
        <v>May</v>
      </c>
      <c r="M52" s="152">
        <f t="shared" si="2"/>
        <v>2019</v>
      </c>
    </row>
    <row r="53" spans="2:13" x14ac:dyDescent="0.25">
      <c r="B53" s="144" t="s">
        <v>641</v>
      </c>
      <c r="C53" s="134">
        <v>43603</v>
      </c>
      <c r="D53" s="119" t="s">
        <v>999</v>
      </c>
      <c r="E53" s="123">
        <v>277</v>
      </c>
      <c r="F53" s="133"/>
      <c r="G53" s="127"/>
      <c r="H53" s="106"/>
      <c r="I53" s="136"/>
      <c r="J53" s="140">
        <f t="shared" si="3"/>
        <v>5419947</v>
      </c>
      <c r="K53" s="149" t="str">
        <f t="shared" si="0"/>
        <v>OK</v>
      </c>
      <c r="L53" s="151" t="str">
        <f t="shared" si="1"/>
        <v>May</v>
      </c>
      <c r="M53" s="152">
        <f t="shared" si="2"/>
        <v>2019</v>
      </c>
    </row>
    <row r="54" spans="2:13" x14ac:dyDescent="0.25">
      <c r="B54" s="144" t="s">
        <v>642</v>
      </c>
      <c r="C54" s="134">
        <v>43604</v>
      </c>
      <c r="D54" s="120" t="s">
        <v>1000</v>
      </c>
      <c r="E54" s="123">
        <v>278</v>
      </c>
      <c r="F54" s="133"/>
      <c r="G54" s="127">
        <v>50000</v>
      </c>
      <c r="H54" s="106" t="s">
        <v>176</v>
      </c>
      <c r="I54" s="136">
        <v>123456</v>
      </c>
      <c r="J54" s="140">
        <f t="shared" si="3"/>
        <v>5369947</v>
      </c>
      <c r="K54" s="149" t="str">
        <f t="shared" si="0"/>
        <v>OK</v>
      </c>
      <c r="L54" s="151" t="str">
        <f t="shared" si="1"/>
        <v>May</v>
      </c>
      <c r="M54" s="152">
        <f t="shared" si="2"/>
        <v>2019</v>
      </c>
    </row>
    <row r="55" spans="2:13" x14ac:dyDescent="0.25">
      <c r="B55" s="144" t="s">
        <v>643</v>
      </c>
      <c r="C55" s="134">
        <v>43605</v>
      </c>
      <c r="D55" s="120" t="s">
        <v>1000</v>
      </c>
      <c r="E55" s="123">
        <v>279</v>
      </c>
      <c r="F55" s="133"/>
      <c r="G55" s="127"/>
      <c r="H55" s="106"/>
      <c r="I55" s="136"/>
      <c r="J55" s="140">
        <f t="shared" si="3"/>
        <v>5369947</v>
      </c>
      <c r="K55" s="149" t="str">
        <f t="shared" si="0"/>
        <v>OK</v>
      </c>
      <c r="L55" s="151" t="str">
        <f t="shared" si="1"/>
        <v>May</v>
      </c>
      <c r="M55" s="152">
        <f t="shared" si="2"/>
        <v>2019</v>
      </c>
    </row>
    <row r="56" spans="2:13" x14ac:dyDescent="0.25">
      <c r="B56" s="144" t="s">
        <v>644</v>
      </c>
      <c r="C56" s="134">
        <v>43606</v>
      </c>
      <c r="D56" s="119" t="s">
        <v>999</v>
      </c>
      <c r="E56" s="123">
        <v>280</v>
      </c>
      <c r="F56" s="133"/>
      <c r="G56" s="127"/>
      <c r="H56" s="106"/>
      <c r="I56" s="136"/>
      <c r="J56" s="140">
        <f t="shared" si="3"/>
        <v>5369947</v>
      </c>
      <c r="K56" s="149" t="str">
        <f t="shared" si="0"/>
        <v>OK</v>
      </c>
      <c r="L56" s="151" t="str">
        <f t="shared" si="1"/>
        <v>May</v>
      </c>
      <c r="M56" s="152">
        <f t="shared" si="2"/>
        <v>2019</v>
      </c>
    </row>
    <row r="57" spans="2:13" x14ac:dyDescent="0.25">
      <c r="B57" s="144" t="s">
        <v>645</v>
      </c>
      <c r="C57" s="134">
        <v>43607</v>
      </c>
      <c r="D57" s="120" t="s">
        <v>1000</v>
      </c>
      <c r="E57" s="123">
        <v>281</v>
      </c>
      <c r="F57" s="133"/>
      <c r="G57" s="127"/>
      <c r="H57" s="106"/>
      <c r="I57" s="136"/>
      <c r="J57" s="140">
        <f t="shared" si="3"/>
        <v>5369947</v>
      </c>
      <c r="K57" s="149" t="str">
        <f t="shared" si="0"/>
        <v>OK</v>
      </c>
      <c r="L57" s="151" t="str">
        <f t="shared" si="1"/>
        <v>May</v>
      </c>
      <c r="M57" s="152">
        <f t="shared" si="2"/>
        <v>2019</v>
      </c>
    </row>
    <row r="58" spans="2:13" x14ac:dyDescent="0.25">
      <c r="B58" s="144" t="s">
        <v>646</v>
      </c>
      <c r="C58" s="134">
        <v>43608</v>
      </c>
      <c r="D58" s="120" t="s">
        <v>1000</v>
      </c>
      <c r="E58" s="123">
        <v>282</v>
      </c>
      <c r="F58" s="133"/>
      <c r="G58" s="127"/>
      <c r="H58" s="106"/>
      <c r="I58" s="136"/>
      <c r="J58" s="140">
        <f t="shared" si="3"/>
        <v>5369947</v>
      </c>
      <c r="K58" s="149" t="str">
        <f t="shared" si="0"/>
        <v>OK</v>
      </c>
      <c r="L58" s="151" t="str">
        <f t="shared" si="1"/>
        <v>May</v>
      </c>
      <c r="M58" s="152">
        <f t="shared" si="2"/>
        <v>2019</v>
      </c>
    </row>
    <row r="59" spans="2:13" x14ac:dyDescent="0.25">
      <c r="B59" s="144" t="s">
        <v>647</v>
      </c>
      <c r="C59" s="134">
        <v>43609</v>
      </c>
      <c r="D59" s="119" t="s">
        <v>999</v>
      </c>
      <c r="E59" s="123">
        <v>283</v>
      </c>
      <c r="F59" s="133"/>
      <c r="G59" s="127"/>
      <c r="H59" s="106"/>
      <c r="I59" s="136"/>
      <c r="J59" s="140">
        <f t="shared" si="3"/>
        <v>5369947</v>
      </c>
      <c r="K59" s="149" t="str">
        <f t="shared" si="0"/>
        <v>OK</v>
      </c>
      <c r="L59" s="151" t="str">
        <f t="shared" si="1"/>
        <v>May</v>
      </c>
      <c r="M59" s="152">
        <f t="shared" si="2"/>
        <v>2019</v>
      </c>
    </row>
    <row r="60" spans="2:13" x14ac:dyDescent="0.25">
      <c r="B60" s="144" t="s">
        <v>648</v>
      </c>
      <c r="C60" s="134">
        <v>43610</v>
      </c>
      <c r="D60" s="120" t="s">
        <v>1000</v>
      </c>
      <c r="E60" s="123">
        <v>284</v>
      </c>
      <c r="F60" s="133"/>
      <c r="G60" s="127">
        <v>100000</v>
      </c>
      <c r="H60" s="106" t="s">
        <v>176</v>
      </c>
      <c r="I60" s="136">
        <v>123457</v>
      </c>
      <c r="J60" s="140">
        <f t="shared" si="3"/>
        <v>5269947</v>
      </c>
      <c r="K60" s="149" t="str">
        <f t="shared" si="0"/>
        <v>OK</v>
      </c>
      <c r="L60" s="151" t="str">
        <f t="shared" si="1"/>
        <v>May</v>
      </c>
      <c r="M60" s="152">
        <f t="shared" si="2"/>
        <v>2019</v>
      </c>
    </row>
    <row r="61" spans="2:13" x14ac:dyDescent="0.25">
      <c r="B61" s="144" t="s">
        <v>649</v>
      </c>
      <c r="C61" s="134">
        <v>43611</v>
      </c>
      <c r="D61" s="119" t="s">
        <v>999</v>
      </c>
      <c r="E61" s="123">
        <v>285</v>
      </c>
      <c r="F61" s="133"/>
      <c r="G61" s="127"/>
      <c r="H61" s="106"/>
      <c r="I61" s="136"/>
      <c r="J61" s="140">
        <f t="shared" si="3"/>
        <v>5269947</v>
      </c>
      <c r="K61" s="149" t="str">
        <f t="shared" si="0"/>
        <v>OK</v>
      </c>
      <c r="L61" s="151" t="str">
        <f t="shared" si="1"/>
        <v>May</v>
      </c>
      <c r="M61" s="152">
        <f t="shared" si="2"/>
        <v>2019</v>
      </c>
    </row>
    <row r="62" spans="2:13" x14ac:dyDescent="0.25">
      <c r="B62" s="144" t="s">
        <v>650</v>
      </c>
      <c r="C62" s="134">
        <v>43612</v>
      </c>
      <c r="D62" s="120" t="s">
        <v>1000</v>
      </c>
      <c r="E62" s="123">
        <v>286</v>
      </c>
      <c r="F62" s="133">
        <v>100000</v>
      </c>
      <c r="G62" s="127"/>
      <c r="H62" s="106"/>
      <c r="I62" s="136"/>
      <c r="J62" s="140">
        <f t="shared" si="3"/>
        <v>5369947</v>
      </c>
      <c r="K62" s="149" t="str">
        <f t="shared" si="0"/>
        <v>OK</v>
      </c>
      <c r="L62" s="151" t="str">
        <f t="shared" si="1"/>
        <v>May</v>
      </c>
      <c r="M62" s="152">
        <f t="shared" si="2"/>
        <v>2019</v>
      </c>
    </row>
    <row r="63" spans="2:13" x14ac:dyDescent="0.25">
      <c r="B63" s="144" t="s">
        <v>651</v>
      </c>
      <c r="C63" s="134">
        <v>43613</v>
      </c>
      <c r="D63" s="120" t="s">
        <v>1000</v>
      </c>
      <c r="E63" s="123">
        <v>287</v>
      </c>
      <c r="F63" s="133"/>
      <c r="G63" s="127"/>
      <c r="H63" s="106"/>
      <c r="I63" s="136"/>
      <c r="J63" s="140">
        <f t="shared" si="3"/>
        <v>5369947</v>
      </c>
      <c r="K63" s="149" t="str">
        <f t="shared" si="0"/>
        <v>OK</v>
      </c>
      <c r="L63" s="151" t="str">
        <f t="shared" si="1"/>
        <v>May</v>
      </c>
      <c r="M63" s="152">
        <f t="shared" si="2"/>
        <v>2019</v>
      </c>
    </row>
    <row r="64" spans="2:13" x14ac:dyDescent="0.25">
      <c r="B64" s="144" t="s">
        <v>652</v>
      </c>
      <c r="C64" s="134">
        <v>43614</v>
      </c>
      <c r="D64" s="119" t="s">
        <v>999</v>
      </c>
      <c r="E64" s="123">
        <v>288</v>
      </c>
      <c r="F64" s="133"/>
      <c r="G64" s="127"/>
      <c r="H64" s="106"/>
      <c r="I64" s="136"/>
      <c r="J64" s="140">
        <f t="shared" si="3"/>
        <v>5369947</v>
      </c>
      <c r="K64" s="149" t="str">
        <f t="shared" si="0"/>
        <v>OK</v>
      </c>
      <c r="L64" s="151" t="str">
        <f t="shared" si="1"/>
        <v>May</v>
      </c>
      <c r="M64" s="152">
        <f t="shared" si="2"/>
        <v>2019</v>
      </c>
    </row>
    <row r="65" spans="2:13" x14ac:dyDescent="0.25">
      <c r="B65" s="144" t="s">
        <v>653</v>
      </c>
      <c r="C65" s="134">
        <v>43615</v>
      </c>
      <c r="D65" s="120" t="s">
        <v>1000</v>
      </c>
      <c r="E65" s="123">
        <v>289</v>
      </c>
      <c r="F65" s="133"/>
      <c r="G65" s="127"/>
      <c r="H65" s="106"/>
      <c r="I65" s="136"/>
      <c r="J65" s="140">
        <f t="shared" si="3"/>
        <v>5369947</v>
      </c>
      <c r="K65" s="149" t="str">
        <f t="shared" si="0"/>
        <v>OK</v>
      </c>
      <c r="L65" s="151" t="str">
        <f t="shared" si="1"/>
        <v>May</v>
      </c>
      <c r="M65" s="152">
        <f t="shared" si="2"/>
        <v>2019</v>
      </c>
    </row>
    <row r="66" spans="2:13" x14ac:dyDescent="0.25">
      <c r="B66" s="144" t="s">
        <v>654</v>
      </c>
      <c r="C66" s="134">
        <v>43616</v>
      </c>
      <c r="D66" s="119" t="s">
        <v>999</v>
      </c>
      <c r="E66" s="123">
        <v>290</v>
      </c>
      <c r="F66" s="133"/>
      <c r="G66" s="127"/>
      <c r="H66" s="106"/>
      <c r="I66" s="136"/>
      <c r="J66" s="140">
        <f t="shared" si="3"/>
        <v>5369947</v>
      </c>
      <c r="K66" s="149" t="str">
        <f t="shared" si="0"/>
        <v>OK</v>
      </c>
      <c r="L66" s="151" t="str">
        <f t="shared" si="1"/>
        <v>May</v>
      </c>
      <c r="M66" s="152">
        <f t="shared" si="2"/>
        <v>2019</v>
      </c>
    </row>
    <row r="67" spans="2:13" x14ac:dyDescent="0.25">
      <c r="B67" s="144" t="s">
        <v>655</v>
      </c>
      <c r="C67" s="134">
        <v>43617</v>
      </c>
      <c r="D67" s="120" t="s">
        <v>1000</v>
      </c>
      <c r="E67" s="123">
        <v>291</v>
      </c>
      <c r="F67" s="133"/>
      <c r="G67" s="127"/>
      <c r="H67" s="106"/>
      <c r="I67" s="136"/>
      <c r="J67" s="140">
        <f t="shared" si="3"/>
        <v>5369947</v>
      </c>
      <c r="K67" s="149" t="str">
        <f t="shared" si="0"/>
        <v>OK</v>
      </c>
      <c r="L67" s="151" t="str">
        <f t="shared" si="1"/>
        <v>June</v>
      </c>
      <c r="M67" s="152">
        <f t="shared" si="2"/>
        <v>2019</v>
      </c>
    </row>
    <row r="68" spans="2:13" x14ac:dyDescent="0.25">
      <c r="B68" s="144" t="s">
        <v>656</v>
      </c>
      <c r="C68" s="134">
        <v>43618</v>
      </c>
      <c r="D68" s="119" t="s">
        <v>999</v>
      </c>
      <c r="E68" s="123">
        <v>292</v>
      </c>
      <c r="F68" s="133"/>
      <c r="G68" s="127"/>
      <c r="H68" s="106"/>
      <c r="I68" s="136"/>
      <c r="J68" s="140">
        <f t="shared" si="3"/>
        <v>5369947</v>
      </c>
      <c r="K68" s="149" t="str">
        <f t="shared" si="0"/>
        <v>OK</v>
      </c>
      <c r="L68" s="151" t="str">
        <f t="shared" si="1"/>
        <v>June</v>
      </c>
      <c r="M68" s="152">
        <f t="shared" si="2"/>
        <v>2019</v>
      </c>
    </row>
    <row r="69" spans="2:13" x14ac:dyDescent="0.25">
      <c r="B69" s="144" t="s">
        <v>657</v>
      </c>
      <c r="C69" s="134">
        <v>43619</v>
      </c>
      <c r="D69" s="120" t="s">
        <v>1000</v>
      </c>
      <c r="E69" s="123">
        <v>293</v>
      </c>
      <c r="F69" s="133"/>
      <c r="G69" s="127"/>
      <c r="H69" s="106"/>
      <c r="I69" s="136"/>
      <c r="J69" s="140">
        <f t="shared" si="3"/>
        <v>5369947</v>
      </c>
      <c r="K69" s="149" t="str">
        <f t="shared" si="0"/>
        <v>OK</v>
      </c>
      <c r="L69" s="151" t="str">
        <f t="shared" si="1"/>
        <v>June</v>
      </c>
      <c r="M69" s="152">
        <f t="shared" si="2"/>
        <v>2019</v>
      </c>
    </row>
    <row r="70" spans="2:13" x14ac:dyDescent="0.25">
      <c r="B70" s="144" t="s">
        <v>658</v>
      </c>
      <c r="C70" s="134">
        <v>43620</v>
      </c>
      <c r="D70" s="119" t="s">
        <v>999</v>
      </c>
      <c r="E70" s="123">
        <v>294</v>
      </c>
      <c r="F70" s="133"/>
      <c r="G70" s="127"/>
      <c r="H70" s="106"/>
      <c r="I70" s="136"/>
      <c r="J70" s="140">
        <f t="shared" si="3"/>
        <v>5369947</v>
      </c>
      <c r="K70" s="149" t="str">
        <f t="shared" si="0"/>
        <v>OK</v>
      </c>
      <c r="L70" s="151" t="str">
        <f t="shared" si="1"/>
        <v>June</v>
      </c>
      <c r="M70" s="152">
        <f t="shared" si="2"/>
        <v>2019</v>
      </c>
    </row>
    <row r="71" spans="2:13" x14ac:dyDescent="0.25">
      <c r="B71" s="144" t="s">
        <v>659</v>
      </c>
      <c r="C71" s="134">
        <v>43621</v>
      </c>
      <c r="D71" s="120" t="s">
        <v>1000</v>
      </c>
      <c r="E71" s="123">
        <v>295</v>
      </c>
      <c r="F71" s="133"/>
      <c r="G71" s="127"/>
      <c r="H71" s="106"/>
      <c r="I71" s="136"/>
      <c r="J71" s="140">
        <f t="shared" si="3"/>
        <v>5369947</v>
      </c>
      <c r="K71" s="149" t="str">
        <f t="shared" si="0"/>
        <v>OK</v>
      </c>
      <c r="L71" s="151" t="str">
        <f t="shared" si="1"/>
        <v>June</v>
      </c>
      <c r="M71" s="152">
        <f t="shared" si="2"/>
        <v>2019</v>
      </c>
    </row>
    <row r="72" spans="2:13" x14ac:dyDescent="0.25">
      <c r="B72" s="144" t="s">
        <v>660</v>
      </c>
      <c r="C72" s="134">
        <v>43622</v>
      </c>
      <c r="D72" s="119" t="s">
        <v>999</v>
      </c>
      <c r="E72" s="123">
        <v>296</v>
      </c>
      <c r="F72" s="133"/>
      <c r="G72" s="127"/>
      <c r="H72" s="106"/>
      <c r="I72" s="136"/>
      <c r="J72" s="140">
        <f t="shared" si="3"/>
        <v>5369947</v>
      </c>
      <c r="K72" s="149" t="str">
        <f t="shared" si="0"/>
        <v>OK</v>
      </c>
      <c r="L72" s="151" t="str">
        <f t="shared" si="1"/>
        <v>June</v>
      </c>
      <c r="M72" s="152">
        <f t="shared" si="2"/>
        <v>2019</v>
      </c>
    </row>
    <row r="73" spans="2:13" x14ac:dyDescent="0.25">
      <c r="B73" s="144" t="s">
        <v>661</v>
      </c>
      <c r="C73" s="134">
        <v>43623</v>
      </c>
      <c r="D73" s="120" t="s">
        <v>1000</v>
      </c>
      <c r="E73" s="123">
        <v>297</v>
      </c>
      <c r="F73" s="133"/>
      <c r="G73" s="127">
        <v>100000</v>
      </c>
      <c r="H73" s="106"/>
      <c r="I73" s="136"/>
      <c r="J73" s="140">
        <f t="shared" si="3"/>
        <v>5269947</v>
      </c>
      <c r="K73" s="149" t="str">
        <f t="shared" si="0"/>
        <v>OK</v>
      </c>
      <c r="L73" s="151" t="str">
        <f t="shared" si="1"/>
        <v>June</v>
      </c>
      <c r="M73" s="152">
        <f t="shared" si="2"/>
        <v>2019</v>
      </c>
    </row>
    <row r="74" spans="2:13" x14ac:dyDescent="0.25">
      <c r="B74" s="144" t="s">
        <v>662</v>
      </c>
      <c r="C74" s="134">
        <v>43624</v>
      </c>
      <c r="D74" s="120" t="s">
        <v>1000</v>
      </c>
      <c r="E74" s="123">
        <v>298</v>
      </c>
      <c r="F74" s="133"/>
      <c r="G74" s="127"/>
      <c r="H74" s="106"/>
      <c r="I74" s="136"/>
      <c r="J74" s="140">
        <f t="shared" si="3"/>
        <v>5269947</v>
      </c>
      <c r="K74" s="149" t="str">
        <f t="shared" si="0"/>
        <v>OK</v>
      </c>
      <c r="L74" s="151" t="str">
        <f t="shared" si="1"/>
        <v>June</v>
      </c>
      <c r="M74" s="152">
        <f t="shared" si="2"/>
        <v>2019</v>
      </c>
    </row>
    <row r="75" spans="2:13" x14ac:dyDescent="0.25">
      <c r="B75" s="144" t="s">
        <v>663</v>
      </c>
      <c r="C75" s="134">
        <v>43625</v>
      </c>
      <c r="D75" s="119" t="s">
        <v>999</v>
      </c>
      <c r="E75" s="123">
        <v>299</v>
      </c>
      <c r="F75" s="133"/>
      <c r="G75" s="127"/>
      <c r="H75" s="106"/>
      <c r="I75" s="136"/>
      <c r="J75" s="140">
        <f t="shared" si="3"/>
        <v>5269947</v>
      </c>
      <c r="K75" s="149" t="str">
        <f t="shared" ref="K75:K138" si="4">IF(AND(F75&lt;&gt;"",G75&lt;&gt;""),"ERROR","OK")</f>
        <v>OK</v>
      </c>
      <c r="L75" s="151" t="str">
        <f t="shared" ref="L75:L138" si="5">TEXT(C75,"mmmm")</f>
        <v>June</v>
      </c>
      <c r="M75" s="152">
        <f t="shared" ref="M75:M138" si="6">YEAR(C75)</f>
        <v>2019</v>
      </c>
    </row>
    <row r="76" spans="2:13" x14ac:dyDescent="0.25">
      <c r="B76" s="144" t="s">
        <v>664</v>
      </c>
      <c r="C76" s="134">
        <v>43626</v>
      </c>
      <c r="D76" s="120" t="s">
        <v>1000</v>
      </c>
      <c r="E76" s="123">
        <v>300</v>
      </c>
      <c r="F76" s="133"/>
      <c r="G76" s="127"/>
      <c r="H76" s="106"/>
      <c r="I76" s="136"/>
      <c r="J76" s="140">
        <f t="shared" ref="J76:J139" si="7">($J75+$F76)-$G76</f>
        <v>5269947</v>
      </c>
      <c r="K76" s="149" t="str">
        <f t="shared" si="4"/>
        <v>OK</v>
      </c>
      <c r="L76" s="151" t="str">
        <f t="shared" si="5"/>
        <v>June</v>
      </c>
      <c r="M76" s="152">
        <f t="shared" si="6"/>
        <v>2019</v>
      </c>
    </row>
    <row r="77" spans="2:13" x14ac:dyDescent="0.25">
      <c r="B77" s="144" t="s">
        <v>665</v>
      </c>
      <c r="C77" s="134">
        <v>43627</v>
      </c>
      <c r="D77" s="119" t="s">
        <v>999</v>
      </c>
      <c r="E77" s="123">
        <v>301</v>
      </c>
      <c r="F77" s="133">
        <v>100000</v>
      </c>
      <c r="G77" s="127"/>
      <c r="H77" s="106"/>
      <c r="I77" s="136"/>
      <c r="J77" s="140">
        <f t="shared" si="7"/>
        <v>5369947</v>
      </c>
      <c r="K77" s="149" t="str">
        <f t="shared" si="4"/>
        <v>OK</v>
      </c>
      <c r="L77" s="151" t="str">
        <f t="shared" si="5"/>
        <v>June</v>
      </c>
      <c r="M77" s="152">
        <f t="shared" si="6"/>
        <v>2019</v>
      </c>
    </row>
    <row r="78" spans="2:13" x14ac:dyDescent="0.25">
      <c r="B78" s="144" t="s">
        <v>666</v>
      </c>
      <c r="C78" s="134">
        <v>43628</v>
      </c>
      <c r="D78" s="120" t="s">
        <v>1000</v>
      </c>
      <c r="E78" s="123">
        <v>302</v>
      </c>
      <c r="F78" s="133"/>
      <c r="G78" s="127"/>
      <c r="H78" s="106"/>
      <c r="I78" s="136"/>
      <c r="J78" s="140">
        <f t="shared" si="7"/>
        <v>5369947</v>
      </c>
      <c r="K78" s="149" t="str">
        <f t="shared" si="4"/>
        <v>OK</v>
      </c>
      <c r="L78" s="151" t="str">
        <f t="shared" si="5"/>
        <v>June</v>
      </c>
      <c r="M78" s="152">
        <f t="shared" si="6"/>
        <v>2019</v>
      </c>
    </row>
    <row r="79" spans="2:13" x14ac:dyDescent="0.25">
      <c r="B79" s="144" t="s">
        <v>667</v>
      </c>
      <c r="C79" s="134">
        <v>43629</v>
      </c>
      <c r="D79" s="120" t="s">
        <v>1000</v>
      </c>
      <c r="E79" s="123">
        <v>303</v>
      </c>
      <c r="F79" s="133"/>
      <c r="G79" s="127"/>
      <c r="H79" s="106"/>
      <c r="I79" s="136"/>
      <c r="J79" s="140">
        <f t="shared" si="7"/>
        <v>5369947</v>
      </c>
      <c r="K79" s="149" t="str">
        <f t="shared" si="4"/>
        <v>OK</v>
      </c>
      <c r="L79" s="151" t="str">
        <f t="shared" si="5"/>
        <v>June</v>
      </c>
      <c r="M79" s="152">
        <f t="shared" si="6"/>
        <v>2019</v>
      </c>
    </row>
    <row r="80" spans="2:13" x14ac:dyDescent="0.25">
      <c r="B80" s="144" t="s">
        <v>668</v>
      </c>
      <c r="C80" s="134">
        <v>43630</v>
      </c>
      <c r="D80" s="119" t="s">
        <v>999</v>
      </c>
      <c r="E80" s="123">
        <v>304</v>
      </c>
      <c r="F80" s="133"/>
      <c r="G80" s="127"/>
      <c r="H80" s="106"/>
      <c r="I80" s="136"/>
      <c r="J80" s="140">
        <f t="shared" si="7"/>
        <v>5369947</v>
      </c>
      <c r="K80" s="149" t="str">
        <f t="shared" si="4"/>
        <v>OK</v>
      </c>
      <c r="L80" s="151" t="str">
        <f t="shared" si="5"/>
        <v>June</v>
      </c>
      <c r="M80" s="152">
        <f t="shared" si="6"/>
        <v>2019</v>
      </c>
    </row>
    <row r="81" spans="2:13" x14ac:dyDescent="0.25">
      <c r="B81" s="144" t="s">
        <v>669</v>
      </c>
      <c r="C81" s="134">
        <v>43631</v>
      </c>
      <c r="D81" s="120" t="s">
        <v>1000</v>
      </c>
      <c r="E81" s="123">
        <v>305</v>
      </c>
      <c r="F81" s="133"/>
      <c r="G81" s="127"/>
      <c r="H81" s="106"/>
      <c r="I81" s="136"/>
      <c r="J81" s="140">
        <f t="shared" si="7"/>
        <v>5369947</v>
      </c>
      <c r="K81" s="149" t="str">
        <f t="shared" si="4"/>
        <v>OK</v>
      </c>
      <c r="L81" s="151" t="str">
        <f t="shared" si="5"/>
        <v>June</v>
      </c>
      <c r="M81" s="152">
        <f t="shared" si="6"/>
        <v>2019</v>
      </c>
    </row>
    <row r="82" spans="2:13" x14ac:dyDescent="0.25">
      <c r="B82" s="144" t="s">
        <v>670</v>
      </c>
      <c r="C82" s="134">
        <v>43632</v>
      </c>
      <c r="D82" s="119" t="s">
        <v>999</v>
      </c>
      <c r="E82" s="123">
        <v>306</v>
      </c>
      <c r="F82" s="133"/>
      <c r="G82" s="127"/>
      <c r="H82" s="106"/>
      <c r="I82" s="136"/>
      <c r="J82" s="140">
        <f t="shared" si="7"/>
        <v>5369947</v>
      </c>
      <c r="K82" s="149" t="str">
        <f t="shared" si="4"/>
        <v>OK</v>
      </c>
      <c r="L82" s="151" t="str">
        <f t="shared" si="5"/>
        <v>June</v>
      </c>
      <c r="M82" s="152">
        <f t="shared" si="6"/>
        <v>2019</v>
      </c>
    </row>
    <row r="83" spans="2:13" x14ac:dyDescent="0.25">
      <c r="B83" s="144" t="s">
        <v>671</v>
      </c>
      <c r="C83" s="134">
        <v>43633</v>
      </c>
      <c r="D83" s="120" t="s">
        <v>1000</v>
      </c>
      <c r="E83" s="123">
        <v>307</v>
      </c>
      <c r="F83" s="133"/>
      <c r="G83" s="127"/>
      <c r="H83" s="106"/>
      <c r="I83" s="136"/>
      <c r="J83" s="140">
        <f t="shared" si="7"/>
        <v>5369947</v>
      </c>
      <c r="K83" s="149" t="str">
        <f t="shared" si="4"/>
        <v>OK</v>
      </c>
      <c r="L83" s="151" t="str">
        <f t="shared" si="5"/>
        <v>June</v>
      </c>
      <c r="M83" s="152">
        <f t="shared" si="6"/>
        <v>2019</v>
      </c>
    </row>
    <row r="84" spans="2:13" x14ac:dyDescent="0.25">
      <c r="B84" s="144" t="s">
        <v>672</v>
      </c>
      <c r="C84" s="134">
        <v>43634</v>
      </c>
      <c r="D84" s="120" t="s">
        <v>1000</v>
      </c>
      <c r="E84" s="123">
        <v>36</v>
      </c>
      <c r="F84" s="133"/>
      <c r="G84" s="127"/>
      <c r="H84" s="106"/>
      <c r="I84" s="136"/>
      <c r="J84" s="140">
        <f t="shared" si="7"/>
        <v>5369947</v>
      </c>
      <c r="K84" s="149" t="str">
        <f t="shared" si="4"/>
        <v>OK</v>
      </c>
      <c r="L84" s="151" t="str">
        <f t="shared" si="5"/>
        <v>June</v>
      </c>
      <c r="M84" s="152">
        <f t="shared" si="6"/>
        <v>2019</v>
      </c>
    </row>
    <row r="85" spans="2:13" x14ac:dyDescent="0.25">
      <c r="B85" s="144" t="s">
        <v>673</v>
      </c>
      <c r="C85" s="134">
        <v>43635</v>
      </c>
      <c r="D85" s="119" t="s">
        <v>999</v>
      </c>
      <c r="E85" s="123">
        <v>362</v>
      </c>
      <c r="F85" s="133"/>
      <c r="G85" s="127">
        <v>100000</v>
      </c>
      <c r="H85" s="106"/>
      <c r="I85" s="136"/>
      <c r="J85" s="140">
        <f t="shared" si="7"/>
        <v>5269947</v>
      </c>
      <c r="K85" s="149" t="str">
        <f t="shared" si="4"/>
        <v>OK</v>
      </c>
      <c r="L85" s="151" t="str">
        <f t="shared" si="5"/>
        <v>June</v>
      </c>
      <c r="M85" s="152">
        <f t="shared" si="6"/>
        <v>2019</v>
      </c>
    </row>
    <row r="86" spans="2:13" x14ac:dyDescent="0.25">
      <c r="B86" s="144" t="s">
        <v>674</v>
      </c>
      <c r="C86" s="134">
        <v>43636</v>
      </c>
      <c r="D86" s="120" t="s">
        <v>1000</v>
      </c>
      <c r="E86" s="123">
        <v>356</v>
      </c>
      <c r="F86" s="133"/>
      <c r="G86" s="127"/>
      <c r="H86" s="106"/>
      <c r="I86" s="136"/>
      <c r="J86" s="140">
        <f t="shared" si="7"/>
        <v>5269947</v>
      </c>
      <c r="K86" s="149" t="str">
        <f t="shared" si="4"/>
        <v>OK</v>
      </c>
      <c r="L86" s="151" t="str">
        <f t="shared" si="5"/>
        <v>June</v>
      </c>
      <c r="M86" s="152">
        <f t="shared" si="6"/>
        <v>2019</v>
      </c>
    </row>
    <row r="87" spans="2:13" x14ac:dyDescent="0.25">
      <c r="B87" s="144" t="s">
        <v>675</v>
      </c>
      <c r="C87" s="134">
        <v>43637</v>
      </c>
      <c r="D87" s="120" t="s">
        <v>1000</v>
      </c>
      <c r="E87" s="123">
        <v>311</v>
      </c>
      <c r="F87" s="133"/>
      <c r="G87" s="127"/>
      <c r="H87" s="106"/>
      <c r="I87" s="136"/>
      <c r="J87" s="140">
        <f t="shared" si="7"/>
        <v>5269947</v>
      </c>
      <c r="K87" s="149" t="str">
        <f t="shared" si="4"/>
        <v>OK</v>
      </c>
      <c r="L87" s="151" t="str">
        <f t="shared" si="5"/>
        <v>June</v>
      </c>
      <c r="M87" s="152">
        <f t="shared" si="6"/>
        <v>2019</v>
      </c>
    </row>
    <row r="88" spans="2:13" x14ac:dyDescent="0.25">
      <c r="B88" s="144" t="s">
        <v>676</v>
      </c>
      <c r="C88" s="134">
        <v>43638</v>
      </c>
      <c r="D88" s="119" t="s">
        <v>999</v>
      </c>
      <c r="E88" s="123">
        <v>312</v>
      </c>
      <c r="F88" s="133">
        <v>100000</v>
      </c>
      <c r="G88" s="127"/>
      <c r="H88" s="106"/>
      <c r="I88" s="136"/>
      <c r="J88" s="140">
        <f t="shared" si="7"/>
        <v>5369947</v>
      </c>
      <c r="K88" s="149" t="str">
        <f t="shared" si="4"/>
        <v>OK</v>
      </c>
      <c r="L88" s="151" t="str">
        <f t="shared" si="5"/>
        <v>June</v>
      </c>
      <c r="M88" s="152">
        <f t="shared" si="6"/>
        <v>2019</v>
      </c>
    </row>
    <row r="89" spans="2:13" x14ac:dyDescent="0.25">
      <c r="B89" s="144" t="s">
        <v>677</v>
      </c>
      <c r="C89" s="134">
        <v>43639</v>
      </c>
      <c r="D89" s="120" t="s">
        <v>1000</v>
      </c>
      <c r="E89" s="123">
        <v>313</v>
      </c>
      <c r="F89" s="133"/>
      <c r="G89" s="127"/>
      <c r="H89" s="106"/>
      <c r="I89" s="136"/>
      <c r="J89" s="140">
        <f t="shared" si="7"/>
        <v>5369947</v>
      </c>
      <c r="K89" s="149" t="str">
        <f t="shared" si="4"/>
        <v>OK</v>
      </c>
      <c r="L89" s="151" t="str">
        <f t="shared" si="5"/>
        <v>June</v>
      </c>
      <c r="M89" s="152">
        <f t="shared" si="6"/>
        <v>2019</v>
      </c>
    </row>
    <row r="90" spans="2:13" x14ac:dyDescent="0.25">
      <c r="B90" s="144" t="s">
        <v>678</v>
      </c>
      <c r="C90" s="134">
        <v>43640</v>
      </c>
      <c r="D90" s="119" t="s">
        <v>999</v>
      </c>
      <c r="E90" s="123">
        <v>314</v>
      </c>
      <c r="F90" s="133"/>
      <c r="G90" s="127"/>
      <c r="H90" s="106"/>
      <c r="I90" s="136"/>
      <c r="J90" s="140">
        <f t="shared" si="7"/>
        <v>5369947</v>
      </c>
      <c r="K90" s="149" t="str">
        <f t="shared" si="4"/>
        <v>OK</v>
      </c>
      <c r="L90" s="151" t="str">
        <f t="shared" si="5"/>
        <v>June</v>
      </c>
      <c r="M90" s="152">
        <f t="shared" si="6"/>
        <v>2019</v>
      </c>
    </row>
    <row r="91" spans="2:13" x14ac:dyDescent="0.25">
      <c r="B91" s="144" t="s">
        <v>679</v>
      </c>
      <c r="C91" s="134">
        <v>43641</v>
      </c>
      <c r="D91" s="120" t="s">
        <v>1000</v>
      </c>
      <c r="E91" s="123">
        <v>315</v>
      </c>
      <c r="F91" s="133"/>
      <c r="G91" s="127"/>
      <c r="H91" s="106"/>
      <c r="I91" s="136"/>
      <c r="J91" s="140">
        <f t="shared" si="7"/>
        <v>5369947</v>
      </c>
      <c r="K91" s="149" t="str">
        <f t="shared" si="4"/>
        <v>OK</v>
      </c>
      <c r="L91" s="151" t="str">
        <f t="shared" si="5"/>
        <v>June</v>
      </c>
      <c r="M91" s="152">
        <f t="shared" si="6"/>
        <v>2019</v>
      </c>
    </row>
    <row r="92" spans="2:13" x14ac:dyDescent="0.25">
      <c r="B92" s="144" t="s">
        <v>680</v>
      </c>
      <c r="C92" s="134">
        <v>43642</v>
      </c>
      <c r="D92" s="120" t="s">
        <v>1000</v>
      </c>
      <c r="E92" s="123">
        <v>316</v>
      </c>
      <c r="F92" s="133"/>
      <c r="G92" s="127"/>
      <c r="H92" s="106"/>
      <c r="I92" s="136"/>
      <c r="J92" s="140">
        <f t="shared" si="7"/>
        <v>5369947</v>
      </c>
      <c r="K92" s="149" t="str">
        <f t="shared" si="4"/>
        <v>OK</v>
      </c>
      <c r="L92" s="151" t="str">
        <f t="shared" si="5"/>
        <v>June</v>
      </c>
      <c r="M92" s="152">
        <f t="shared" si="6"/>
        <v>2019</v>
      </c>
    </row>
    <row r="93" spans="2:13" x14ac:dyDescent="0.25">
      <c r="B93" s="144" t="s">
        <v>681</v>
      </c>
      <c r="C93" s="134">
        <v>43643</v>
      </c>
      <c r="D93" s="119" t="s">
        <v>999</v>
      </c>
      <c r="E93" s="123">
        <v>317</v>
      </c>
      <c r="F93" s="133"/>
      <c r="G93" s="127"/>
      <c r="H93" s="106"/>
      <c r="I93" s="136"/>
      <c r="J93" s="140">
        <f t="shared" si="7"/>
        <v>5369947</v>
      </c>
      <c r="K93" s="149" t="str">
        <f t="shared" si="4"/>
        <v>OK</v>
      </c>
      <c r="L93" s="151" t="str">
        <f t="shared" si="5"/>
        <v>June</v>
      </c>
      <c r="M93" s="152">
        <f t="shared" si="6"/>
        <v>2019</v>
      </c>
    </row>
    <row r="94" spans="2:13" x14ac:dyDescent="0.25">
      <c r="B94" s="144" t="s">
        <v>682</v>
      </c>
      <c r="C94" s="134">
        <v>43644</v>
      </c>
      <c r="D94" s="120" t="s">
        <v>1000</v>
      </c>
      <c r="E94" s="123">
        <v>318</v>
      </c>
      <c r="F94" s="133"/>
      <c r="G94" s="127"/>
      <c r="H94" s="106"/>
      <c r="I94" s="136"/>
      <c r="J94" s="140">
        <f t="shared" si="7"/>
        <v>5369947</v>
      </c>
      <c r="K94" s="149" t="str">
        <f t="shared" si="4"/>
        <v>OK</v>
      </c>
      <c r="L94" s="151" t="str">
        <f t="shared" si="5"/>
        <v>June</v>
      </c>
      <c r="M94" s="152">
        <f t="shared" si="6"/>
        <v>2019</v>
      </c>
    </row>
    <row r="95" spans="2:13" x14ac:dyDescent="0.25">
      <c r="B95" s="144" t="s">
        <v>683</v>
      </c>
      <c r="C95" s="134">
        <v>43645</v>
      </c>
      <c r="D95" s="119" t="s">
        <v>999</v>
      </c>
      <c r="E95" s="123">
        <v>319</v>
      </c>
      <c r="F95" s="133"/>
      <c r="G95" s="127"/>
      <c r="H95" s="106"/>
      <c r="I95" s="136"/>
      <c r="J95" s="140">
        <f t="shared" si="7"/>
        <v>5369947</v>
      </c>
      <c r="K95" s="149" t="str">
        <f t="shared" si="4"/>
        <v>OK</v>
      </c>
      <c r="L95" s="151" t="str">
        <f t="shared" si="5"/>
        <v>June</v>
      </c>
      <c r="M95" s="152">
        <f t="shared" si="6"/>
        <v>2019</v>
      </c>
    </row>
    <row r="96" spans="2:13" x14ac:dyDescent="0.25">
      <c r="B96" s="144" t="s">
        <v>684</v>
      </c>
      <c r="C96" s="134">
        <v>43646</v>
      </c>
      <c r="D96" s="120" t="s">
        <v>1000</v>
      </c>
      <c r="E96" s="123">
        <v>320</v>
      </c>
      <c r="F96" s="133"/>
      <c r="G96" s="127"/>
      <c r="H96" s="106"/>
      <c r="I96" s="136"/>
      <c r="J96" s="140">
        <f t="shared" si="7"/>
        <v>5369947</v>
      </c>
      <c r="K96" s="149" t="str">
        <f t="shared" si="4"/>
        <v>OK</v>
      </c>
      <c r="L96" s="151" t="str">
        <f t="shared" si="5"/>
        <v>June</v>
      </c>
      <c r="M96" s="152">
        <f t="shared" si="6"/>
        <v>2019</v>
      </c>
    </row>
    <row r="97" spans="2:13" x14ac:dyDescent="0.25">
      <c r="B97" s="144" t="s">
        <v>685</v>
      </c>
      <c r="C97" s="134">
        <v>43647</v>
      </c>
      <c r="D97" s="119" t="s">
        <v>999</v>
      </c>
      <c r="E97" s="123">
        <v>321</v>
      </c>
      <c r="F97" s="133"/>
      <c r="G97" s="127"/>
      <c r="H97" s="106"/>
      <c r="I97" s="136"/>
      <c r="J97" s="140">
        <f t="shared" si="7"/>
        <v>5369947</v>
      </c>
      <c r="K97" s="149" t="str">
        <f t="shared" si="4"/>
        <v>OK</v>
      </c>
      <c r="L97" s="151" t="str">
        <f t="shared" si="5"/>
        <v>July</v>
      </c>
      <c r="M97" s="152">
        <f t="shared" si="6"/>
        <v>2019</v>
      </c>
    </row>
    <row r="98" spans="2:13" x14ac:dyDescent="0.25">
      <c r="B98" s="144" t="s">
        <v>686</v>
      </c>
      <c r="C98" s="134">
        <v>43648</v>
      </c>
      <c r="D98" s="120" t="s">
        <v>1000</v>
      </c>
      <c r="E98" s="123">
        <v>322</v>
      </c>
      <c r="F98" s="133"/>
      <c r="G98" s="127">
        <v>100000</v>
      </c>
      <c r="H98" s="106"/>
      <c r="I98" s="136"/>
      <c r="J98" s="140">
        <f t="shared" si="7"/>
        <v>5269947</v>
      </c>
      <c r="K98" s="149" t="str">
        <f t="shared" si="4"/>
        <v>OK</v>
      </c>
      <c r="L98" s="151" t="str">
        <f t="shared" si="5"/>
        <v>July</v>
      </c>
      <c r="M98" s="152">
        <f t="shared" si="6"/>
        <v>2019</v>
      </c>
    </row>
    <row r="99" spans="2:13" x14ac:dyDescent="0.25">
      <c r="B99" s="144" t="s">
        <v>687</v>
      </c>
      <c r="C99" s="134">
        <v>43649</v>
      </c>
      <c r="D99" s="119" t="s">
        <v>999</v>
      </c>
      <c r="E99" s="123">
        <v>323</v>
      </c>
      <c r="F99" s="133"/>
      <c r="G99" s="127"/>
      <c r="H99" s="106"/>
      <c r="I99" s="136"/>
      <c r="J99" s="140">
        <f t="shared" si="7"/>
        <v>5269947</v>
      </c>
      <c r="K99" s="149" t="str">
        <f t="shared" si="4"/>
        <v>OK</v>
      </c>
      <c r="L99" s="151" t="str">
        <f t="shared" si="5"/>
        <v>July</v>
      </c>
      <c r="M99" s="152">
        <f t="shared" si="6"/>
        <v>2019</v>
      </c>
    </row>
    <row r="100" spans="2:13" x14ac:dyDescent="0.25">
      <c r="B100" s="144" t="s">
        <v>688</v>
      </c>
      <c r="C100" s="134">
        <v>43650</v>
      </c>
      <c r="D100" s="120" t="s">
        <v>1000</v>
      </c>
      <c r="E100" s="123">
        <v>324</v>
      </c>
      <c r="F100" s="133"/>
      <c r="G100" s="127"/>
      <c r="H100" s="106"/>
      <c r="I100" s="136"/>
      <c r="J100" s="140">
        <f t="shared" si="7"/>
        <v>5269947</v>
      </c>
      <c r="K100" s="149" t="str">
        <f t="shared" si="4"/>
        <v>OK</v>
      </c>
      <c r="L100" s="151" t="str">
        <f t="shared" si="5"/>
        <v>July</v>
      </c>
      <c r="M100" s="152">
        <f t="shared" si="6"/>
        <v>2019</v>
      </c>
    </row>
    <row r="101" spans="2:13" x14ac:dyDescent="0.25">
      <c r="B101" s="144" t="s">
        <v>689</v>
      </c>
      <c r="C101" s="134">
        <v>43651</v>
      </c>
      <c r="D101" s="119" t="s">
        <v>999</v>
      </c>
      <c r="E101" s="123">
        <v>325</v>
      </c>
      <c r="F101" s="133"/>
      <c r="G101" s="127"/>
      <c r="H101" s="106"/>
      <c r="I101" s="136"/>
      <c r="J101" s="140">
        <f t="shared" si="7"/>
        <v>5269947</v>
      </c>
      <c r="K101" s="149" t="str">
        <f t="shared" si="4"/>
        <v>OK</v>
      </c>
      <c r="L101" s="151" t="str">
        <f t="shared" si="5"/>
        <v>July</v>
      </c>
      <c r="M101" s="152">
        <f t="shared" si="6"/>
        <v>2019</v>
      </c>
    </row>
    <row r="102" spans="2:13" x14ac:dyDescent="0.25">
      <c r="B102" s="144" t="s">
        <v>690</v>
      </c>
      <c r="C102" s="134">
        <v>43652</v>
      </c>
      <c r="D102" s="120" t="s">
        <v>1000</v>
      </c>
      <c r="E102" s="123">
        <v>326</v>
      </c>
      <c r="F102" s="133"/>
      <c r="G102" s="127"/>
      <c r="H102" s="106"/>
      <c r="I102" s="136"/>
      <c r="J102" s="140">
        <f t="shared" si="7"/>
        <v>5269947</v>
      </c>
      <c r="K102" s="149" t="str">
        <f t="shared" si="4"/>
        <v>OK</v>
      </c>
      <c r="L102" s="151" t="str">
        <f t="shared" si="5"/>
        <v>July</v>
      </c>
      <c r="M102" s="152">
        <f t="shared" si="6"/>
        <v>2019</v>
      </c>
    </row>
    <row r="103" spans="2:13" x14ac:dyDescent="0.25">
      <c r="B103" s="144" t="s">
        <v>691</v>
      </c>
      <c r="C103" s="134">
        <v>43653</v>
      </c>
      <c r="D103" s="120" t="s">
        <v>1000</v>
      </c>
      <c r="E103" s="123">
        <v>327</v>
      </c>
      <c r="F103" s="133"/>
      <c r="G103" s="127"/>
      <c r="H103" s="106"/>
      <c r="I103" s="136"/>
      <c r="J103" s="140">
        <f t="shared" si="7"/>
        <v>5269947</v>
      </c>
      <c r="K103" s="149" t="str">
        <f t="shared" si="4"/>
        <v>OK</v>
      </c>
      <c r="L103" s="151" t="str">
        <f t="shared" si="5"/>
        <v>July</v>
      </c>
      <c r="M103" s="152">
        <f t="shared" si="6"/>
        <v>2019</v>
      </c>
    </row>
    <row r="104" spans="2:13" x14ac:dyDescent="0.25">
      <c r="B104" s="144" t="s">
        <v>692</v>
      </c>
      <c r="C104" s="134">
        <v>43654</v>
      </c>
      <c r="D104" s="119" t="s">
        <v>999</v>
      </c>
      <c r="E104" s="123">
        <v>328</v>
      </c>
      <c r="F104" s="133"/>
      <c r="G104" s="127"/>
      <c r="H104" s="106"/>
      <c r="I104" s="136"/>
      <c r="J104" s="140">
        <f t="shared" si="7"/>
        <v>5269947</v>
      </c>
      <c r="K104" s="149" t="str">
        <f t="shared" si="4"/>
        <v>OK</v>
      </c>
      <c r="L104" s="151" t="str">
        <f t="shared" si="5"/>
        <v>July</v>
      </c>
      <c r="M104" s="152">
        <f t="shared" si="6"/>
        <v>2019</v>
      </c>
    </row>
    <row r="105" spans="2:13" x14ac:dyDescent="0.25">
      <c r="B105" s="144" t="s">
        <v>693</v>
      </c>
      <c r="C105" s="134">
        <v>43655</v>
      </c>
      <c r="D105" s="120" t="s">
        <v>1000</v>
      </c>
      <c r="E105" s="123">
        <v>329</v>
      </c>
      <c r="F105" s="133"/>
      <c r="G105" s="127"/>
      <c r="H105" s="106"/>
      <c r="I105" s="136"/>
      <c r="J105" s="140">
        <f t="shared" si="7"/>
        <v>5269947</v>
      </c>
      <c r="K105" s="149" t="str">
        <f t="shared" si="4"/>
        <v>OK</v>
      </c>
      <c r="L105" s="151" t="str">
        <f t="shared" si="5"/>
        <v>July</v>
      </c>
      <c r="M105" s="152">
        <f t="shared" si="6"/>
        <v>2019</v>
      </c>
    </row>
    <row r="106" spans="2:13" x14ac:dyDescent="0.25">
      <c r="B106" s="144" t="s">
        <v>694</v>
      </c>
      <c r="C106" s="134">
        <v>43656</v>
      </c>
      <c r="D106" s="119" t="s">
        <v>999</v>
      </c>
      <c r="E106" s="123">
        <v>330</v>
      </c>
      <c r="F106" s="133"/>
      <c r="G106" s="127"/>
      <c r="H106" s="106"/>
      <c r="I106" s="136"/>
      <c r="J106" s="140">
        <f t="shared" si="7"/>
        <v>5269947</v>
      </c>
      <c r="K106" s="149" t="str">
        <f t="shared" si="4"/>
        <v>OK</v>
      </c>
      <c r="L106" s="151" t="str">
        <f t="shared" si="5"/>
        <v>July</v>
      </c>
      <c r="M106" s="152">
        <f t="shared" si="6"/>
        <v>2019</v>
      </c>
    </row>
    <row r="107" spans="2:13" x14ac:dyDescent="0.25">
      <c r="B107" s="144" t="s">
        <v>695</v>
      </c>
      <c r="C107" s="134">
        <v>43657</v>
      </c>
      <c r="D107" s="120" t="s">
        <v>1000</v>
      </c>
      <c r="E107" s="123">
        <v>331</v>
      </c>
      <c r="F107" s="133"/>
      <c r="G107" s="127"/>
      <c r="H107" s="106"/>
      <c r="I107" s="136"/>
      <c r="J107" s="140">
        <f t="shared" si="7"/>
        <v>5269947</v>
      </c>
      <c r="K107" s="149" t="str">
        <f t="shared" si="4"/>
        <v>OK</v>
      </c>
      <c r="L107" s="151" t="str">
        <f t="shared" si="5"/>
        <v>July</v>
      </c>
      <c r="M107" s="152">
        <f t="shared" si="6"/>
        <v>2019</v>
      </c>
    </row>
    <row r="108" spans="2:13" x14ac:dyDescent="0.25">
      <c r="B108" s="144" t="s">
        <v>696</v>
      </c>
      <c r="C108" s="134">
        <v>43658</v>
      </c>
      <c r="D108" s="120" t="s">
        <v>1000</v>
      </c>
      <c r="E108" s="123">
        <v>332</v>
      </c>
      <c r="F108" s="133"/>
      <c r="G108" s="127"/>
      <c r="H108" s="106"/>
      <c r="I108" s="136"/>
      <c r="J108" s="140">
        <f t="shared" si="7"/>
        <v>5269947</v>
      </c>
      <c r="K108" s="149" t="str">
        <f t="shared" si="4"/>
        <v>OK</v>
      </c>
      <c r="L108" s="151" t="str">
        <f t="shared" si="5"/>
        <v>July</v>
      </c>
      <c r="M108" s="152">
        <f t="shared" si="6"/>
        <v>2019</v>
      </c>
    </row>
    <row r="109" spans="2:13" x14ac:dyDescent="0.25">
      <c r="B109" s="144" t="s">
        <v>697</v>
      </c>
      <c r="C109" s="134">
        <v>43659</v>
      </c>
      <c r="D109" s="119" t="s">
        <v>999</v>
      </c>
      <c r="E109" s="123">
        <v>333</v>
      </c>
      <c r="F109" s="133"/>
      <c r="G109" s="127"/>
      <c r="H109" s="106"/>
      <c r="I109" s="136"/>
      <c r="J109" s="140">
        <f t="shared" si="7"/>
        <v>5269947</v>
      </c>
      <c r="K109" s="149" t="str">
        <f t="shared" si="4"/>
        <v>OK</v>
      </c>
      <c r="L109" s="151" t="str">
        <f t="shared" si="5"/>
        <v>July</v>
      </c>
      <c r="M109" s="152">
        <f t="shared" si="6"/>
        <v>2019</v>
      </c>
    </row>
    <row r="110" spans="2:13" x14ac:dyDescent="0.25">
      <c r="B110" s="144" t="s">
        <v>698</v>
      </c>
      <c r="C110" s="134">
        <v>43660</v>
      </c>
      <c r="D110" s="120" t="s">
        <v>1000</v>
      </c>
      <c r="E110" s="123">
        <v>334</v>
      </c>
      <c r="F110" s="133"/>
      <c r="G110" s="127">
        <v>100000</v>
      </c>
      <c r="H110" s="106"/>
      <c r="I110" s="136"/>
      <c r="J110" s="140">
        <f t="shared" si="7"/>
        <v>5169947</v>
      </c>
      <c r="K110" s="149" t="str">
        <f t="shared" si="4"/>
        <v>OK</v>
      </c>
      <c r="L110" s="151" t="str">
        <f t="shared" si="5"/>
        <v>July</v>
      </c>
      <c r="M110" s="152">
        <f t="shared" si="6"/>
        <v>2019</v>
      </c>
    </row>
    <row r="111" spans="2:13" x14ac:dyDescent="0.25">
      <c r="B111" s="144" t="s">
        <v>699</v>
      </c>
      <c r="C111" s="134">
        <v>43661</v>
      </c>
      <c r="D111" s="119" t="s">
        <v>999</v>
      </c>
      <c r="E111" s="123">
        <v>335</v>
      </c>
      <c r="F111" s="133"/>
      <c r="G111" s="127"/>
      <c r="H111" s="106"/>
      <c r="I111" s="136"/>
      <c r="J111" s="140">
        <f t="shared" si="7"/>
        <v>5169947</v>
      </c>
      <c r="K111" s="149" t="str">
        <f t="shared" si="4"/>
        <v>OK</v>
      </c>
      <c r="L111" s="151" t="str">
        <f t="shared" si="5"/>
        <v>July</v>
      </c>
      <c r="M111" s="152">
        <f t="shared" si="6"/>
        <v>2019</v>
      </c>
    </row>
    <row r="112" spans="2:13" x14ac:dyDescent="0.25">
      <c r="B112" s="144" t="s">
        <v>700</v>
      </c>
      <c r="C112" s="134">
        <v>43662</v>
      </c>
      <c r="D112" s="120" t="s">
        <v>1000</v>
      </c>
      <c r="E112" s="123">
        <v>336</v>
      </c>
      <c r="F112" s="133"/>
      <c r="G112" s="127"/>
      <c r="H112" s="106"/>
      <c r="I112" s="136"/>
      <c r="J112" s="140">
        <f t="shared" si="7"/>
        <v>5169947</v>
      </c>
      <c r="K112" s="149" t="str">
        <f t="shared" si="4"/>
        <v>OK</v>
      </c>
      <c r="L112" s="151" t="str">
        <f t="shared" si="5"/>
        <v>July</v>
      </c>
      <c r="M112" s="152">
        <f t="shared" si="6"/>
        <v>2019</v>
      </c>
    </row>
    <row r="113" spans="2:13" x14ac:dyDescent="0.25">
      <c r="B113" s="144" t="s">
        <v>701</v>
      </c>
      <c r="C113" s="134">
        <v>43663</v>
      </c>
      <c r="D113" s="120" t="s">
        <v>1000</v>
      </c>
      <c r="E113" s="123">
        <v>337</v>
      </c>
      <c r="F113" s="133"/>
      <c r="G113" s="127"/>
      <c r="H113" s="106"/>
      <c r="I113" s="136"/>
      <c r="J113" s="140">
        <f t="shared" si="7"/>
        <v>5169947</v>
      </c>
      <c r="K113" s="149" t="str">
        <f t="shared" si="4"/>
        <v>OK</v>
      </c>
      <c r="L113" s="151" t="str">
        <f t="shared" si="5"/>
        <v>July</v>
      </c>
      <c r="M113" s="152">
        <f t="shared" si="6"/>
        <v>2019</v>
      </c>
    </row>
    <row r="114" spans="2:13" x14ac:dyDescent="0.25">
      <c r="B114" s="144" t="s">
        <v>702</v>
      </c>
      <c r="C114" s="134">
        <v>43664</v>
      </c>
      <c r="D114" s="119" t="s">
        <v>999</v>
      </c>
      <c r="E114" s="123">
        <v>338</v>
      </c>
      <c r="F114" s="133"/>
      <c r="G114" s="127"/>
      <c r="H114" s="106"/>
      <c r="I114" s="136"/>
      <c r="J114" s="140">
        <f t="shared" si="7"/>
        <v>5169947</v>
      </c>
      <c r="K114" s="149" t="str">
        <f t="shared" si="4"/>
        <v>OK</v>
      </c>
      <c r="L114" s="151" t="str">
        <f t="shared" si="5"/>
        <v>July</v>
      </c>
      <c r="M114" s="152">
        <f t="shared" si="6"/>
        <v>2019</v>
      </c>
    </row>
    <row r="115" spans="2:13" x14ac:dyDescent="0.25">
      <c r="B115" s="144" t="s">
        <v>703</v>
      </c>
      <c r="C115" s="134">
        <v>43665</v>
      </c>
      <c r="D115" s="120" t="s">
        <v>1000</v>
      </c>
      <c r="E115" s="123">
        <v>339</v>
      </c>
      <c r="F115" s="133">
        <v>2000</v>
      </c>
      <c r="G115" s="127"/>
      <c r="H115" s="106"/>
      <c r="I115" s="136"/>
      <c r="J115" s="140">
        <f t="shared" si="7"/>
        <v>5171947</v>
      </c>
      <c r="K115" s="149" t="str">
        <f t="shared" si="4"/>
        <v>OK</v>
      </c>
      <c r="L115" s="151" t="str">
        <f t="shared" si="5"/>
        <v>July</v>
      </c>
      <c r="M115" s="152">
        <f t="shared" si="6"/>
        <v>2019</v>
      </c>
    </row>
    <row r="116" spans="2:13" x14ac:dyDescent="0.25">
      <c r="B116" s="144" t="s">
        <v>704</v>
      </c>
      <c r="C116" s="134">
        <v>43666</v>
      </c>
      <c r="D116" s="120" t="s">
        <v>1000</v>
      </c>
      <c r="E116" s="123">
        <v>340</v>
      </c>
      <c r="F116" s="133"/>
      <c r="G116" s="127"/>
      <c r="H116" s="106"/>
      <c r="I116" s="136"/>
      <c r="J116" s="140">
        <f t="shared" si="7"/>
        <v>5171947</v>
      </c>
      <c r="K116" s="149" t="str">
        <f t="shared" si="4"/>
        <v>OK</v>
      </c>
      <c r="L116" s="151" t="str">
        <f t="shared" si="5"/>
        <v>July</v>
      </c>
      <c r="M116" s="152">
        <f t="shared" si="6"/>
        <v>2019</v>
      </c>
    </row>
    <row r="117" spans="2:13" x14ac:dyDescent="0.25">
      <c r="B117" s="144" t="s">
        <v>705</v>
      </c>
      <c r="C117" s="134">
        <v>43667</v>
      </c>
      <c r="D117" s="119" t="s">
        <v>999</v>
      </c>
      <c r="E117" s="123">
        <v>341</v>
      </c>
      <c r="F117" s="133"/>
      <c r="G117" s="127">
        <v>100000</v>
      </c>
      <c r="H117" s="106"/>
      <c r="I117" s="136"/>
      <c r="J117" s="140">
        <f t="shared" si="7"/>
        <v>5071947</v>
      </c>
      <c r="K117" s="149" t="str">
        <f t="shared" si="4"/>
        <v>OK</v>
      </c>
      <c r="L117" s="151" t="str">
        <f t="shared" si="5"/>
        <v>July</v>
      </c>
      <c r="M117" s="152">
        <f t="shared" si="6"/>
        <v>2019</v>
      </c>
    </row>
    <row r="118" spans="2:13" x14ac:dyDescent="0.25">
      <c r="B118" s="144" t="s">
        <v>706</v>
      </c>
      <c r="C118" s="134">
        <v>43926</v>
      </c>
      <c r="D118" s="120" t="s">
        <v>1000</v>
      </c>
      <c r="E118" s="123">
        <v>342</v>
      </c>
      <c r="F118" s="133">
        <v>100000</v>
      </c>
      <c r="G118" s="127"/>
      <c r="H118" s="106"/>
      <c r="I118" s="136"/>
      <c r="J118" s="140">
        <f t="shared" si="7"/>
        <v>5171947</v>
      </c>
      <c r="K118" s="149" t="str">
        <f t="shared" si="4"/>
        <v>OK</v>
      </c>
      <c r="L118" s="151" t="str">
        <f t="shared" si="5"/>
        <v>April</v>
      </c>
      <c r="M118" s="152">
        <f t="shared" si="6"/>
        <v>2020</v>
      </c>
    </row>
    <row r="119" spans="2:13" x14ac:dyDescent="0.25">
      <c r="B119" s="144" t="s">
        <v>707</v>
      </c>
      <c r="C119" s="134">
        <v>43669</v>
      </c>
      <c r="D119" s="119"/>
      <c r="E119" s="123">
        <v>343</v>
      </c>
      <c r="F119" s="133"/>
      <c r="G119" s="127"/>
      <c r="H119" s="106"/>
      <c r="I119" s="136"/>
      <c r="J119" s="140">
        <f t="shared" si="7"/>
        <v>5171947</v>
      </c>
      <c r="K119" s="149" t="str">
        <f t="shared" si="4"/>
        <v>OK</v>
      </c>
      <c r="L119" s="151" t="str">
        <f t="shared" si="5"/>
        <v>July</v>
      </c>
      <c r="M119" s="152">
        <f t="shared" si="6"/>
        <v>2019</v>
      </c>
    </row>
    <row r="120" spans="2:13" x14ac:dyDescent="0.25">
      <c r="B120" s="144" t="s">
        <v>708</v>
      </c>
      <c r="C120" s="134">
        <v>43670</v>
      </c>
      <c r="D120" s="120"/>
      <c r="E120" s="123">
        <v>344</v>
      </c>
      <c r="F120" s="133"/>
      <c r="G120" s="127"/>
      <c r="H120" s="106"/>
      <c r="I120" s="136"/>
      <c r="J120" s="140">
        <f t="shared" si="7"/>
        <v>5171947</v>
      </c>
      <c r="K120" s="149" t="str">
        <f t="shared" si="4"/>
        <v>OK</v>
      </c>
      <c r="L120" s="151" t="str">
        <f t="shared" si="5"/>
        <v>July</v>
      </c>
      <c r="M120" s="152">
        <f t="shared" si="6"/>
        <v>2019</v>
      </c>
    </row>
    <row r="121" spans="2:13" x14ac:dyDescent="0.25">
      <c r="B121" s="144" t="s">
        <v>709</v>
      </c>
      <c r="C121" s="134">
        <v>43671</v>
      </c>
      <c r="D121" s="120"/>
      <c r="E121" s="123">
        <v>345</v>
      </c>
      <c r="F121" s="133"/>
      <c r="G121" s="127"/>
      <c r="H121" s="106"/>
      <c r="I121" s="136"/>
      <c r="J121" s="140">
        <f t="shared" si="7"/>
        <v>5171947</v>
      </c>
      <c r="K121" s="149" t="str">
        <f t="shared" si="4"/>
        <v>OK</v>
      </c>
      <c r="L121" s="151" t="str">
        <f t="shared" si="5"/>
        <v>July</v>
      </c>
      <c r="M121" s="152">
        <f t="shared" si="6"/>
        <v>2019</v>
      </c>
    </row>
    <row r="122" spans="2:13" x14ac:dyDescent="0.25">
      <c r="B122" s="144" t="s">
        <v>710</v>
      </c>
      <c r="C122" s="134">
        <v>43672</v>
      </c>
      <c r="D122" s="119"/>
      <c r="E122" s="123">
        <v>346</v>
      </c>
      <c r="F122" s="133"/>
      <c r="G122" s="127"/>
      <c r="H122" s="106"/>
      <c r="I122" s="136"/>
      <c r="J122" s="140">
        <f t="shared" si="7"/>
        <v>5171947</v>
      </c>
      <c r="K122" s="149" t="str">
        <f t="shared" si="4"/>
        <v>OK</v>
      </c>
      <c r="L122" s="151" t="str">
        <f t="shared" si="5"/>
        <v>July</v>
      </c>
      <c r="M122" s="152">
        <f t="shared" si="6"/>
        <v>2019</v>
      </c>
    </row>
    <row r="123" spans="2:13" x14ac:dyDescent="0.25">
      <c r="B123" s="144" t="s">
        <v>711</v>
      </c>
      <c r="C123" s="134">
        <v>43673</v>
      </c>
      <c r="D123" s="120"/>
      <c r="E123" s="123">
        <v>347</v>
      </c>
      <c r="F123" s="133"/>
      <c r="G123" s="127"/>
      <c r="H123" s="106"/>
      <c r="I123" s="136"/>
      <c r="J123" s="140">
        <f t="shared" si="7"/>
        <v>5171947</v>
      </c>
      <c r="K123" s="149" t="str">
        <f t="shared" si="4"/>
        <v>OK</v>
      </c>
      <c r="L123" s="151" t="str">
        <f t="shared" si="5"/>
        <v>July</v>
      </c>
      <c r="M123" s="152">
        <f t="shared" si="6"/>
        <v>2019</v>
      </c>
    </row>
    <row r="124" spans="2:13" x14ac:dyDescent="0.25">
      <c r="B124" s="144" t="s">
        <v>712</v>
      </c>
      <c r="C124" s="134">
        <v>43674</v>
      </c>
      <c r="D124" s="119"/>
      <c r="E124" s="123">
        <v>348</v>
      </c>
      <c r="F124" s="133"/>
      <c r="G124" s="127"/>
      <c r="H124" s="106"/>
      <c r="I124" s="136"/>
      <c r="J124" s="140">
        <f t="shared" si="7"/>
        <v>5171947</v>
      </c>
      <c r="K124" s="149" t="str">
        <f t="shared" si="4"/>
        <v>OK</v>
      </c>
      <c r="L124" s="151" t="str">
        <f t="shared" si="5"/>
        <v>July</v>
      </c>
      <c r="M124" s="152">
        <f t="shared" si="6"/>
        <v>2019</v>
      </c>
    </row>
    <row r="125" spans="2:13" x14ac:dyDescent="0.25">
      <c r="B125" s="144" t="s">
        <v>713</v>
      </c>
      <c r="C125" s="134">
        <v>43675</v>
      </c>
      <c r="D125" s="120"/>
      <c r="E125" s="123">
        <v>349</v>
      </c>
      <c r="F125" s="133"/>
      <c r="G125" s="127"/>
      <c r="H125" s="106"/>
      <c r="I125" s="136"/>
      <c r="J125" s="140">
        <f t="shared" si="7"/>
        <v>5171947</v>
      </c>
      <c r="K125" s="149" t="str">
        <f t="shared" si="4"/>
        <v>OK</v>
      </c>
      <c r="L125" s="151" t="str">
        <f t="shared" si="5"/>
        <v>July</v>
      </c>
      <c r="M125" s="152">
        <f t="shared" si="6"/>
        <v>2019</v>
      </c>
    </row>
    <row r="126" spans="2:13" x14ac:dyDescent="0.25">
      <c r="B126" s="144" t="s">
        <v>714</v>
      </c>
      <c r="C126" s="134">
        <v>43676</v>
      </c>
      <c r="D126" s="120"/>
      <c r="E126" s="123">
        <v>350</v>
      </c>
      <c r="F126" s="133"/>
      <c r="G126" s="127"/>
      <c r="H126" s="106"/>
      <c r="I126" s="136"/>
      <c r="J126" s="140">
        <f t="shared" si="7"/>
        <v>5171947</v>
      </c>
      <c r="K126" s="149" t="str">
        <f t="shared" si="4"/>
        <v>OK</v>
      </c>
      <c r="L126" s="151" t="str">
        <f t="shared" si="5"/>
        <v>July</v>
      </c>
      <c r="M126" s="152">
        <f t="shared" si="6"/>
        <v>2019</v>
      </c>
    </row>
    <row r="127" spans="2:13" x14ac:dyDescent="0.25">
      <c r="B127" s="144" t="s">
        <v>715</v>
      </c>
      <c r="C127" s="134">
        <v>43677</v>
      </c>
      <c r="D127" s="120"/>
      <c r="E127" s="123">
        <v>351</v>
      </c>
      <c r="F127" s="133"/>
      <c r="G127" s="127"/>
      <c r="H127" s="106"/>
      <c r="I127" s="136"/>
      <c r="J127" s="140">
        <f t="shared" si="7"/>
        <v>5171947</v>
      </c>
      <c r="K127" s="149" t="str">
        <f t="shared" si="4"/>
        <v>OK</v>
      </c>
      <c r="L127" s="151" t="str">
        <f t="shared" si="5"/>
        <v>July</v>
      </c>
      <c r="M127" s="152">
        <f t="shared" si="6"/>
        <v>2019</v>
      </c>
    </row>
    <row r="128" spans="2:13" x14ac:dyDescent="0.25">
      <c r="B128" s="144" t="s">
        <v>716</v>
      </c>
      <c r="C128" s="134">
        <v>43678</v>
      </c>
      <c r="D128" s="120"/>
      <c r="E128" s="123">
        <v>352</v>
      </c>
      <c r="F128" s="133"/>
      <c r="G128" s="127"/>
      <c r="H128" s="106"/>
      <c r="I128" s="136"/>
      <c r="J128" s="140">
        <f t="shared" si="7"/>
        <v>5171947</v>
      </c>
      <c r="K128" s="149" t="str">
        <f t="shared" si="4"/>
        <v>OK</v>
      </c>
      <c r="L128" s="151" t="str">
        <f t="shared" si="5"/>
        <v>August</v>
      </c>
      <c r="M128" s="152">
        <f t="shared" si="6"/>
        <v>2019</v>
      </c>
    </row>
    <row r="129" spans="2:13" x14ac:dyDescent="0.25">
      <c r="B129" s="144" t="s">
        <v>717</v>
      </c>
      <c r="C129" s="134">
        <v>43679</v>
      </c>
      <c r="D129" s="120"/>
      <c r="E129" s="123">
        <v>353</v>
      </c>
      <c r="F129" s="133"/>
      <c r="G129" s="127"/>
      <c r="H129" s="106"/>
      <c r="I129" s="136"/>
      <c r="J129" s="140">
        <f t="shared" si="7"/>
        <v>5171947</v>
      </c>
      <c r="K129" s="149" t="str">
        <f t="shared" si="4"/>
        <v>OK</v>
      </c>
      <c r="L129" s="151" t="str">
        <f t="shared" si="5"/>
        <v>August</v>
      </c>
      <c r="M129" s="152">
        <f t="shared" si="6"/>
        <v>2019</v>
      </c>
    </row>
    <row r="130" spans="2:13" x14ac:dyDescent="0.25">
      <c r="B130" s="144" t="s">
        <v>718</v>
      </c>
      <c r="C130" s="134">
        <v>43680</v>
      </c>
      <c r="D130" s="120"/>
      <c r="E130" s="123">
        <v>354</v>
      </c>
      <c r="F130" s="133"/>
      <c r="G130" s="127"/>
      <c r="H130" s="106"/>
      <c r="I130" s="136"/>
      <c r="J130" s="140">
        <f t="shared" si="7"/>
        <v>5171947</v>
      </c>
      <c r="K130" s="149" t="str">
        <f t="shared" si="4"/>
        <v>OK</v>
      </c>
      <c r="L130" s="151" t="str">
        <f t="shared" si="5"/>
        <v>August</v>
      </c>
      <c r="M130" s="152">
        <f t="shared" si="6"/>
        <v>2019</v>
      </c>
    </row>
    <row r="131" spans="2:13" x14ac:dyDescent="0.25">
      <c r="B131" s="144" t="s">
        <v>719</v>
      </c>
      <c r="C131" s="134">
        <v>43681</v>
      </c>
      <c r="D131" s="120"/>
      <c r="E131" s="123">
        <v>355</v>
      </c>
      <c r="F131" s="133"/>
      <c r="G131" s="127"/>
      <c r="H131" s="106"/>
      <c r="I131" s="136"/>
      <c r="J131" s="140">
        <f t="shared" si="7"/>
        <v>5171947</v>
      </c>
      <c r="K131" s="149" t="str">
        <f t="shared" si="4"/>
        <v>OK</v>
      </c>
      <c r="L131" s="151" t="str">
        <f t="shared" si="5"/>
        <v>August</v>
      </c>
      <c r="M131" s="152">
        <f t="shared" si="6"/>
        <v>2019</v>
      </c>
    </row>
    <row r="132" spans="2:13" x14ac:dyDescent="0.25">
      <c r="B132" s="144" t="s">
        <v>720</v>
      </c>
      <c r="C132" s="134">
        <v>43682</v>
      </c>
      <c r="D132" s="120"/>
      <c r="E132" s="123">
        <v>356</v>
      </c>
      <c r="F132" s="133"/>
      <c r="G132" s="127"/>
      <c r="H132" s="106"/>
      <c r="I132" s="136"/>
      <c r="J132" s="140">
        <f t="shared" si="7"/>
        <v>5171947</v>
      </c>
      <c r="K132" s="149" t="str">
        <f t="shared" si="4"/>
        <v>OK</v>
      </c>
      <c r="L132" s="151" t="str">
        <f t="shared" si="5"/>
        <v>August</v>
      </c>
      <c r="M132" s="152">
        <f t="shared" si="6"/>
        <v>2019</v>
      </c>
    </row>
    <row r="133" spans="2:13" x14ac:dyDescent="0.25">
      <c r="B133" s="144" t="s">
        <v>721</v>
      </c>
      <c r="C133" s="134">
        <v>43683</v>
      </c>
      <c r="D133" s="120"/>
      <c r="E133" s="123">
        <v>357</v>
      </c>
      <c r="F133" s="133"/>
      <c r="G133" s="127"/>
      <c r="H133" s="106"/>
      <c r="I133" s="136"/>
      <c r="J133" s="140">
        <f t="shared" si="7"/>
        <v>5171947</v>
      </c>
      <c r="K133" s="149" t="str">
        <f t="shared" si="4"/>
        <v>OK</v>
      </c>
      <c r="L133" s="151" t="str">
        <f t="shared" si="5"/>
        <v>August</v>
      </c>
      <c r="M133" s="152">
        <f t="shared" si="6"/>
        <v>2019</v>
      </c>
    </row>
    <row r="134" spans="2:13" x14ac:dyDescent="0.25">
      <c r="B134" s="144" t="s">
        <v>722</v>
      </c>
      <c r="C134" s="134">
        <v>43684</v>
      </c>
      <c r="D134" s="120"/>
      <c r="E134" s="123">
        <v>358</v>
      </c>
      <c r="F134" s="133"/>
      <c r="G134" s="127"/>
      <c r="H134" s="106"/>
      <c r="I134" s="136"/>
      <c r="J134" s="140">
        <f t="shared" si="7"/>
        <v>5171947</v>
      </c>
      <c r="K134" s="149" t="str">
        <f t="shared" si="4"/>
        <v>OK</v>
      </c>
      <c r="L134" s="151" t="str">
        <f t="shared" si="5"/>
        <v>August</v>
      </c>
      <c r="M134" s="152">
        <f t="shared" si="6"/>
        <v>2019</v>
      </c>
    </row>
    <row r="135" spans="2:13" x14ac:dyDescent="0.25">
      <c r="B135" s="144" t="s">
        <v>723</v>
      </c>
      <c r="C135" s="134">
        <v>43685</v>
      </c>
      <c r="D135" s="120"/>
      <c r="E135" s="123">
        <v>359</v>
      </c>
      <c r="F135" s="133"/>
      <c r="G135" s="127"/>
      <c r="H135" s="106"/>
      <c r="I135" s="136"/>
      <c r="J135" s="140">
        <f t="shared" si="7"/>
        <v>5171947</v>
      </c>
      <c r="K135" s="149" t="str">
        <f t="shared" si="4"/>
        <v>OK</v>
      </c>
      <c r="L135" s="151" t="str">
        <f t="shared" si="5"/>
        <v>August</v>
      </c>
      <c r="M135" s="152">
        <f t="shared" si="6"/>
        <v>2019</v>
      </c>
    </row>
    <row r="136" spans="2:13" x14ac:dyDescent="0.25">
      <c r="B136" s="144" t="s">
        <v>724</v>
      </c>
      <c r="C136" s="134">
        <v>43686</v>
      </c>
      <c r="D136" s="120"/>
      <c r="E136" s="123">
        <v>360</v>
      </c>
      <c r="F136" s="133"/>
      <c r="G136" s="127"/>
      <c r="H136" s="106"/>
      <c r="I136" s="136"/>
      <c r="J136" s="140">
        <f t="shared" si="7"/>
        <v>5171947</v>
      </c>
      <c r="K136" s="149" t="str">
        <f t="shared" si="4"/>
        <v>OK</v>
      </c>
      <c r="L136" s="151" t="str">
        <f t="shared" si="5"/>
        <v>August</v>
      </c>
      <c r="M136" s="152">
        <f t="shared" si="6"/>
        <v>2019</v>
      </c>
    </row>
    <row r="137" spans="2:13" x14ac:dyDescent="0.25">
      <c r="B137" s="144" t="s">
        <v>725</v>
      </c>
      <c r="C137" s="134">
        <v>43687</v>
      </c>
      <c r="D137" s="120"/>
      <c r="E137" s="123">
        <v>361</v>
      </c>
      <c r="F137" s="133"/>
      <c r="G137" s="127"/>
      <c r="H137" s="106"/>
      <c r="I137" s="136"/>
      <c r="J137" s="140">
        <f t="shared" si="7"/>
        <v>5171947</v>
      </c>
      <c r="K137" s="149" t="str">
        <f t="shared" si="4"/>
        <v>OK</v>
      </c>
      <c r="L137" s="151" t="str">
        <f t="shared" si="5"/>
        <v>August</v>
      </c>
      <c r="M137" s="152">
        <f t="shared" si="6"/>
        <v>2019</v>
      </c>
    </row>
    <row r="138" spans="2:13" x14ac:dyDescent="0.25">
      <c r="B138" s="144" t="s">
        <v>726</v>
      </c>
      <c r="C138" s="134">
        <v>43688</v>
      </c>
      <c r="D138" s="120"/>
      <c r="E138" s="123">
        <v>362</v>
      </c>
      <c r="F138" s="133"/>
      <c r="G138" s="127"/>
      <c r="H138" s="106"/>
      <c r="I138" s="136"/>
      <c r="J138" s="140">
        <f t="shared" si="7"/>
        <v>5171947</v>
      </c>
      <c r="K138" s="149" t="str">
        <f t="shared" si="4"/>
        <v>OK</v>
      </c>
      <c r="L138" s="151" t="str">
        <f t="shared" si="5"/>
        <v>August</v>
      </c>
      <c r="M138" s="152">
        <f t="shared" si="6"/>
        <v>2019</v>
      </c>
    </row>
    <row r="139" spans="2:13" x14ac:dyDescent="0.25">
      <c r="B139" s="144" t="s">
        <v>727</v>
      </c>
      <c r="C139" s="134">
        <v>43689</v>
      </c>
      <c r="D139" s="120"/>
      <c r="E139" s="123">
        <v>363</v>
      </c>
      <c r="F139" s="133"/>
      <c r="G139" s="127"/>
      <c r="H139" s="106"/>
      <c r="I139" s="136"/>
      <c r="J139" s="140">
        <f t="shared" si="7"/>
        <v>5171947</v>
      </c>
      <c r="K139" s="149" t="str">
        <f t="shared" ref="K139:K202" si="8">IF(AND(F139&lt;&gt;"",G139&lt;&gt;""),"ERROR","OK")</f>
        <v>OK</v>
      </c>
      <c r="L139" s="151" t="str">
        <f t="shared" ref="L139:L202" si="9">TEXT(C139,"mmmm")</f>
        <v>August</v>
      </c>
      <c r="M139" s="152">
        <f t="shared" ref="M139:M202" si="10">YEAR(C139)</f>
        <v>2019</v>
      </c>
    </row>
    <row r="140" spans="2:13" x14ac:dyDescent="0.25">
      <c r="B140" s="144" t="s">
        <v>728</v>
      </c>
      <c r="C140" s="134">
        <v>43690</v>
      </c>
      <c r="D140" s="120"/>
      <c r="E140" s="123">
        <v>364</v>
      </c>
      <c r="F140" s="133"/>
      <c r="G140" s="127"/>
      <c r="H140" s="106"/>
      <c r="I140" s="136"/>
      <c r="J140" s="140">
        <f t="shared" ref="J140:J203" si="11">($J139+$F140)-$G140</f>
        <v>5171947</v>
      </c>
      <c r="K140" s="149" t="str">
        <f t="shared" si="8"/>
        <v>OK</v>
      </c>
      <c r="L140" s="151" t="str">
        <f t="shared" si="9"/>
        <v>August</v>
      </c>
      <c r="M140" s="152">
        <f t="shared" si="10"/>
        <v>2019</v>
      </c>
    </row>
    <row r="141" spans="2:13" x14ac:dyDescent="0.25">
      <c r="B141" s="144" t="s">
        <v>729</v>
      </c>
      <c r="C141" s="134">
        <v>43691</v>
      </c>
      <c r="D141" s="120"/>
      <c r="E141" s="123">
        <v>365</v>
      </c>
      <c r="F141" s="133"/>
      <c r="G141" s="127"/>
      <c r="H141" s="106"/>
      <c r="I141" s="136"/>
      <c r="J141" s="140">
        <f t="shared" si="11"/>
        <v>5171947</v>
      </c>
      <c r="K141" s="149" t="str">
        <f t="shared" si="8"/>
        <v>OK</v>
      </c>
      <c r="L141" s="151" t="str">
        <f t="shared" si="9"/>
        <v>August</v>
      </c>
      <c r="M141" s="152">
        <f t="shared" si="10"/>
        <v>2019</v>
      </c>
    </row>
    <row r="142" spans="2:13" x14ac:dyDescent="0.25">
      <c r="B142" s="144" t="s">
        <v>730</v>
      </c>
      <c r="C142" s="134">
        <v>43692</v>
      </c>
      <c r="D142" s="120"/>
      <c r="E142" s="123">
        <v>366</v>
      </c>
      <c r="F142" s="133"/>
      <c r="G142" s="127"/>
      <c r="H142" s="106"/>
      <c r="I142" s="136"/>
      <c r="J142" s="140">
        <f t="shared" si="11"/>
        <v>5171947</v>
      </c>
      <c r="K142" s="149" t="str">
        <f t="shared" si="8"/>
        <v>OK</v>
      </c>
      <c r="L142" s="151" t="str">
        <f t="shared" si="9"/>
        <v>August</v>
      </c>
      <c r="M142" s="152">
        <f t="shared" si="10"/>
        <v>2019</v>
      </c>
    </row>
    <row r="143" spans="2:13" x14ac:dyDescent="0.25">
      <c r="B143" s="144" t="s">
        <v>731</v>
      </c>
      <c r="C143" s="134">
        <v>43693</v>
      </c>
      <c r="D143" s="120"/>
      <c r="E143" s="123">
        <v>367</v>
      </c>
      <c r="F143" s="133"/>
      <c r="G143" s="127"/>
      <c r="H143" s="106"/>
      <c r="I143" s="136"/>
      <c r="J143" s="140">
        <f t="shared" si="11"/>
        <v>5171947</v>
      </c>
      <c r="K143" s="149" t="str">
        <f t="shared" si="8"/>
        <v>OK</v>
      </c>
      <c r="L143" s="151" t="str">
        <f t="shared" si="9"/>
        <v>August</v>
      </c>
      <c r="M143" s="152">
        <f t="shared" si="10"/>
        <v>2019</v>
      </c>
    </row>
    <row r="144" spans="2:13" x14ac:dyDescent="0.25">
      <c r="B144" s="144" t="s">
        <v>732</v>
      </c>
      <c r="C144" s="134">
        <v>43694</v>
      </c>
      <c r="D144" s="120"/>
      <c r="E144" s="123">
        <v>368</v>
      </c>
      <c r="F144" s="133"/>
      <c r="G144" s="127"/>
      <c r="H144" s="106"/>
      <c r="I144" s="136"/>
      <c r="J144" s="140">
        <f t="shared" si="11"/>
        <v>5171947</v>
      </c>
      <c r="K144" s="149" t="str">
        <f t="shared" si="8"/>
        <v>OK</v>
      </c>
      <c r="L144" s="151" t="str">
        <f t="shared" si="9"/>
        <v>August</v>
      </c>
      <c r="M144" s="152">
        <f t="shared" si="10"/>
        <v>2019</v>
      </c>
    </row>
    <row r="145" spans="2:13" x14ac:dyDescent="0.25">
      <c r="B145" s="144" t="s">
        <v>733</v>
      </c>
      <c r="C145" s="134">
        <v>43695</v>
      </c>
      <c r="D145" s="120"/>
      <c r="E145" s="123">
        <v>369</v>
      </c>
      <c r="F145" s="133"/>
      <c r="G145" s="127"/>
      <c r="H145" s="106"/>
      <c r="I145" s="136"/>
      <c r="J145" s="140">
        <f t="shared" si="11"/>
        <v>5171947</v>
      </c>
      <c r="K145" s="149" t="str">
        <f t="shared" si="8"/>
        <v>OK</v>
      </c>
      <c r="L145" s="151" t="str">
        <f t="shared" si="9"/>
        <v>August</v>
      </c>
      <c r="M145" s="152">
        <f t="shared" si="10"/>
        <v>2019</v>
      </c>
    </row>
    <row r="146" spans="2:13" x14ac:dyDescent="0.25">
      <c r="B146" s="144" t="s">
        <v>734</v>
      </c>
      <c r="C146" s="134">
        <v>43696</v>
      </c>
      <c r="D146" s="120"/>
      <c r="E146" s="123">
        <v>370</v>
      </c>
      <c r="F146" s="133"/>
      <c r="G146" s="127"/>
      <c r="H146" s="106"/>
      <c r="I146" s="136"/>
      <c r="J146" s="140">
        <f t="shared" si="11"/>
        <v>5171947</v>
      </c>
      <c r="K146" s="149" t="str">
        <f t="shared" si="8"/>
        <v>OK</v>
      </c>
      <c r="L146" s="151" t="str">
        <f t="shared" si="9"/>
        <v>August</v>
      </c>
      <c r="M146" s="152">
        <f t="shared" si="10"/>
        <v>2019</v>
      </c>
    </row>
    <row r="147" spans="2:13" x14ac:dyDescent="0.25">
      <c r="B147" s="144" t="s">
        <v>735</v>
      </c>
      <c r="C147" s="134">
        <v>43697</v>
      </c>
      <c r="D147" s="120"/>
      <c r="E147" s="123">
        <v>371</v>
      </c>
      <c r="F147" s="133"/>
      <c r="G147" s="127"/>
      <c r="H147" s="106"/>
      <c r="I147" s="136"/>
      <c r="J147" s="140">
        <f t="shared" si="11"/>
        <v>5171947</v>
      </c>
      <c r="K147" s="149" t="str">
        <f t="shared" si="8"/>
        <v>OK</v>
      </c>
      <c r="L147" s="151" t="str">
        <f t="shared" si="9"/>
        <v>August</v>
      </c>
      <c r="M147" s="152">
        <f t="shared" si="10"/>
        <v>2019</v>
      </c>
    </row>
    <row r="148" spans="2:13" x14ac:dyDescent="0.25">
      <c r="B148" s="144" t="s">
        <v>736</v>
      </c>
      <c r="C148" s="134">
        <v>43698</v>
      </c>
      <c r="D148" s="120"/>
      <c r="E148" s="123">
        <v>372</v>
      </c>
      <c r="F148" s="133"/>
      <c r="G148" s="127"/>
      <c r="H148" s="106"/>
      <c r="I148" s="136"/>
      <c r="J148" s="140">
        <f t="shared" si="11"/>
        <v>5171947</v>
      </c>
      <c r="K148" s="149" t="str">
        <f t="shared" si="8"/>
        <v>OK</v>
      </c>
      <c r="L148" s="151" t="str">
        <f t="shared" si="9"/>
        <v>August</v>
      </c>
      <c r="M148" s="152">
        <f t="shared" si="10"/>
        <v>2019</v>
      </c>
    </row>
    <row r="149" spans="2:13" x14ac:dyDescent="0.25">
      <c r="B149" s="144" t="s">
        <v>737</v>
      </c>
      <c r="C149" s="134">
        <v>43699</v>
      </c>
      <c r="D149" s="120"/>
      <c r="E149" s="123">
        <v>373</v>
      </c>
      <c r="F149" s="133"/>
      <c r="G149" s="127"/>
      <c r="H149" s="106"/>
      <c r="I149" s="136"/>
      <c r="J149" s="140">
        <f t="shared" si="11"/>
        <v>5171947</v>
      </c>
      <c r="K149" s="149" t="str">
        <f t="shared" si="8"/>
        <v>OK</v>
      </c>
      <c r="L149" s="151" t="str">
        <f t="shared" si="9"/>
        <v>August</v>
      </c>
      <c r="M149" s="152">
        <f t="shared" si="10"/>
        <v>2019</v>
      </c>
    </row>
    <row r="150" spans="2:13" x14ac:dyDescent="0.25">
      <c r="B150" s="144" t="s">
        <v>738</v>
      </c>
      <c r="C150" s="134">
        <v>43700</v>
      </c>
      <c r="D150" s="120"/>
      <c r="E150" s="123">
        <v>374</v>
      </c>
      <c r="F150" s="133"/>
      <c r="G150" s="127"/>
      <c r="H150" s="106"/>
      <c r="I150" s="136"/>
      <c r="J150" s="140">
        <f t="shared" si="11"/>
        <v>5171947</v>
      </c>
      <c r="K150" s="149" t="str">
        <f t="shared" si="8"/>
        <v>OK</v>
      </c>
      <c r="L150" s="151" t="str">
        <f t="shared" si="9"/>
        <v>August</v>
      </c>
      <c r="M150" s="152">
        <f t="shared" si="10"/>
        <v>2019</v>
      </c>
    </row>
    <row r="151" spans="2:13" x14ac:dyDescent="0.25">
      <c r="B151" s="144" t="s">
        <v>739</v>
      </c>
      <c r="C151" s="134">
        <v>43701</v>
      </c>
      <c r="D151" s="120"/>
      <c r="E151" s="123">
        <v>375</v>
      </c>
      <c r="F151" s="133"/>
      <c r="G151" s="127"/>
      <c r="H151" s="106"/>
      <c r="I151" s="136"/>
      <c r="J151" s="140">
        <f t="shared" si="11"/>
        <v>5171947</v>
      </c>
      <c r="K151" s="149" t="str">
        <f t="shared" si="8"/>
        <v>OK</v>
      </c>
      <c r="L151" s="151" t="str">
        <f t="shared" si="9"/>
        <v>August</v>
      </c>
      <c r="M151" s="152">
        <f t="shared" si="10"/>
        <v>2019</v>
      </c>
    </row>
    <row r="152" spans="2:13" x14ac:dyDescent="0.25">
      <c r="B152" s="144" t="s">
        <v>740</v>
      </c>
      <c r="C152" s="134">
        <v>43702</v>
      </c>
      <c r="D152" s="120"/>
      <c r="E152" s="123">
        <v>376</v>
      </c>
      <c r="F152" s="133"/>
      <c r="G152" s="127"/>
      <c r="H152" s="106"/>
      <c r="I152" s="136"/>
      <c r="J152" s="140">
        <f t="shared" si="11"/>
        <v>5171947</v>
      </c>
      <c r="K152" s="149" t="str">
        <f t="shared" si="8"/>
        <v>OK</v>
      </c>
      <c r="L152" s="151" t="str">
        <f t="shared" si="9"/>
        <v>August</v>
      </c>
      <c r="M152" s="152">
        <f t="shared" si="10"/>
        <v>2019</v>
      </c>
    </row>
    <row r="153" spans="2:13" x14ac:dyDescent="0.25">
      <c r="B153" s="144" t="s">
        <v>741</v>
      </c>
      <c r="C153" s="134">
        <v>43703</v>
      </c>
      <c r="D153" s="120"/>
      <c r="E153" s="123">
        <v>377</v>
      </c>
      <c r="F153" s="133"/>
      <c r="G153" s="127"/>
      <c r="H153" s="106"/>
      <c r="I153" s="136"/>
      <c r="J153" s="140">
        <f t="shared" si="11"/>
        <v>5171947</v>
      </c>
      <c r="K153" s="149" t="str">
        <f t="shared" si="8"/>
        <v>OK</v>
      </c>
      <c r="L153" s="151" t="str">
        <f t="shared" si="9"/>
        <v>August</v>
      </c>
      <c r="M153" s="152">
        <f t="shared" si="10"/>
        <v>2019</v>
      </c>
    </row>
    <row r="154" spans="2:13" x14ac:dyDescent="0.25">
      <c r="B154" s="144" t="s">
        <v>742</v>
      </c>
      <c r="C154" s="134">
        <v>43704</v>
      </c>
      <c r="D154" s="120"/>
      <c r="E154" s="123">
        <v>378</v>
      </c>
      <c r="F154" s="133"/>
      <c r="G154" s="127"/>
      <c r="H154" s="106"/>
      <c r="I154" s="136"/>
      <c r="J154" s="140">
        <f t="shared" si="11"/>
        <v>5171947</v>
      </c>
      <c r="K154" s="149" t="str">
        <f t="shared" si="8"/>
        <v>OK</v>
      </c>
      <c r="L154" s="151" t="str">
        <f t="shared" si="9"/>
        <v>August</v>
      </c>
      <c r="M154" s="152">
        <f t="shared" si="10"/>
        <v>2019</v>
      </c>
    </row>
    <row r="155" spans="2:13" x14ac:dyDescent="0.25">
      <c r="B155" s="144" t="s">
        <v>743</v>
      </c>
      <c r="C155" s="134">
        <v>43705</v>
      </c>
      <c r="D155" s="120"/>
      <c r="E155" s="123">
        <v>379</v>
      </c>
      <c r="F155" s="133"/>
      <c r="G155" s="127"/>
      <c r="H155" s="106"/>
      <c r="I155" s="136"/>
      <c r="J155" s="140">
        <f t="shared" si="11"/>
        <v>5171947</v>
      </c>
      <c r="K155" s="149" t="str">
        <f t="shared" si="8"/>
        <v>OK</v>
      </c>
      <c r="L155" s="151" t="str">
        <f t="shared" si="9"/>
        <v>August</v>
      </c>
      <c r="M155" s="152">
        <f t="shared" si="10"/>
        <v>2019</v>
      </c>
    </row>
    <row r="156" spans="2:13" x14ac:dyDescent="0.25">
      <c r="B156" s="144" t="s">
        <v>744</v>
      </c>
      <c r="C156" s="134">
        <v>43706</v>
      </c>
      <c r="D156" s="120"/>
      <c r="E156" s="123">
        <v>380</v>
      </c>
      <c r="F156" s="133"/>
      <c r="G156" s="127"/>
      <c r="H156" s="106"/>
      <c r="I156" s="136"/>
      <c r="J156" s="140">
        <f t="shared" si="11"/>
        <v>5171947</v>
      </c>
      <c r="K156" s="149" t="str">
        <f t="shared" si="8"/>
        <v>OK</v>
      </c>
      <c r="L156" s="151" t="str">
        <f t="shared" si="9"/>
        <v>August</v>
      </c>
      <c r="M156" s="152">
        <f t="shared" si="10"/>
        <v>2019</v>
      </c>
    </row>
    <row r="157" spans="2:13" x14ac:dyDescent="0.25">
      <c r="B157" s="144" t="s">
        <v>745</v>
      </c>
      <c r="C157" s="134">
        <v>43707</v>
      </c>
      <c r="D157" s="120"/>
      <c r="E157" s="123">
        <v>381</v>
      </c>
      <c r="F157" s="133"/>
      <c r="G157" s="127"/>
      <c r="H157" s="106"/>
      <c r="I157" s="136"/>
      <c r="J157" s="140">
        <f t="shared" si="11"/>
        <v>5171947</v>
      </c>
      <c r="K157" s="149" t="str">
        <f t="shared" si="8"/>
        <v>OK</v>
      </c>
      <c r="L157" s="151" t="str">
        <f t="shared" si="9"/>
        <v>August</v>
      </c>
      <c r="M157" s="152">
        <f t="shared" si="10"/>
        <v>2019</v>
      </c>
    </row>
    <row r="158" spans="2:13" x14ac:dyDescent="0.25">
      <c r="B158" s="144" t="s">
        <v>746</v>
      </c>
      <c r="C158" s="134">
        <v>43708</v>
      </c>
      <c r="D158" s="120"/>
      <c r="E158" s="123">
        <v>382</v>
      </c>
      <c r="F158" s="133"/>
      <c r="G158" s="127"/>
      <c r="H158" s="106"/>
      <c r="I158" s="136"/>
      <c r="J158" s="140">
        <f t="shared" si="11"/>
        <v>5171947</v>
      </c>
      <c r="K158" s="149" t="str">
        <f t="shared" si="8"/>
        <v>OK</v>
      </c>
      <c r="L158" s="151" t="str">
        <f t="shared" si="9"/>
        <v>August</v>
      </c>
      <c r="M158" s="152">
        <f t="shared" si="10"/>
        <v>2019</v>
      </c>
    </row>
    <row r="159" spans="2:13" x14ac:dyDescent="0.25">
      <c r="B159" s="144" t="s">
        <v>747</v>
      </c>
      <c r="C159" s="134">
        <v>43709</v>
      </c>
      <c r="D159" s="120"/>
      <c r="E159" s="123">
        <v>383</v>
      </c>
      <c r="F159" s="133"/>
      <c r="G159" s="127"/>
      <c r="H159" s="106"/>
      <c r="I159" s="136"/>
      <c r="J159" s="140">
        <f t="shared" si="11"/>
        <v>5171947</v>
      </c>
      <c r="K159" s="149" t="str">
        <f t="shared" si="8"/>
        <v>OK</v>
      </c>
      <c r="L159" s="151" t="str">
        <f t="shared" si="9"/>
        <v>September</v>
      </c>
      <c r="M159" s="152">
        <f t="shared" si="10"/>
        <v>2019</v>
      </c>
    </row>
    <row r="160" spans="2:13" x14ac:dyDescent="0.25">
      <c r="B160" s="144" t="s">
        <v>748</v>
      </c>
      <c r="C160" s="134">
        <v>43710</v>
      </c>
      <c r="D160" s="120"/>
      <c r="E160" s="123">
        <v>384</v>
      </c>
      <c r="F160" s="133"/>
      <c r="G160" s="127"/>
      <c r="H160" s="106"/>
      <c r="I160" s="136"/>
      <c r="J160" s="140">
        <f t="shared" si="11"/>
        <v>5171947</v>
      </c>
      <c r="K160" s="149" t="str">
        <f t="shared" si="8"/>
        <v>OK</v>
      </c>
      <c r="L160" s="151" t="str">
        <f t="shared" si="9"/>
        <v>September</v>
      </c>
      <c r="M160" s="152">
        <f t="shared" si="10"/>
        <v>2019</v>
      </c>
    </row>
    <row r="161" spans="2:13" x14ac:dyDescent="0.25">
      <c r="B161" s="144" t="s">
        <v>749</v>
      </c>
      <c r="C161" s="134">
        <v>43711</v>
      </c>
      <c r="D161" s="120"/>
      <c r="E161" s="123">
        <v>385</v>
      </c>
      <c r="F161" s="133"/>
      <c r="G161" s="127"/>
      <c r="H161" s="106"/>
      <c r="I161" s="136"/>
      <c r="J161" s="140">
        <f t="shared" si="11"/>
        <v>5171947</v>
      </c>
      <c r="K161" s="149" t="str">
        <f t="shared" si="8"/>
        <v>OK</v>
      </c>
      <c r="L161" s="151" t="str">
        <f t="shared" si="9"/>
        <v>September</v>
      </c>
      <c r="M161" s="152">
        <f t="shared" si="10"/>
        <v>2019</v>
      </c>
    </row>
    <row r="162" spans="2:13" x14ac:dyDescent="0.25">
      <c r="B162" s="144" t="s">
        <v>750</v>
      </c>
      <c r="C162" s="134">
        <v>43712</v>
      </c>
      <c r="D162" s="120"/>
      <c r="E162" s="123">
        <v>386</v>
      </c>
      <c r="F162" s="133"/>
      <c r="G162" s="127"/>
      <c r="H162" s="106"/>
      <c r="I162" s="136"/>
      <c r="J162" s="140">
        <f t="shared" si="11"/>
        <v>5171947</v>
      </c>
      <c r="K162" s="149" t="str">
        <f t="shared" si="8"/>
        <v>OK</v>
      </c>
      <c r="L162" s="151" t="str">
        <f t="shared" si="9"/>
        <v>September</v>
      </c>
      <c r="M162" s="152">
        <f t="shared" si="10"/>
        <v>2019</v>
      </c>
    </row>
    <row r="163" spans="2:13" x14ac:dyDescent="0.25">
      <c r="B163" s="144" t="s">
        <v>751</v>
      </c>
      <c r="C163" s="134">
        <v>43713</v>
      </c>
      <c r="D163" s="120"/>
      <c r="E163" s="123">
        <v>387</v>
      </c>
      <c r="F163" s="133"/>
      <c r="G163" s="127"/>
      <c r="H163" s="106"/>
      <c r="I163" s="136"/>
      <c r="J163" s="140">
        <f t="shared" si="11"/>
        <v>5171947</v>
      </c>
      <c r="K163" s="149" t="str">
        <f t="shared" si="8"/>
        <v>OK</v>
      </c>
      <c r="L163" s="151" t="str">
        <f t="shared" si="9"/>
        <v>September</v>
      </c>
      <c r="M163" s="152">
        <f t="shared" si="10"/>
        <v>2019</v>
      </c>
    </row>
    <row r="164" spans="2:13" x14ac:dyDescent="0.25">
      <c r="B164" s="144" t="s">
        <v>752</v>
      </c>
      <c r="C164" s="134">
        <v>43714</v>
      </c>
      <c r="D164" s="120"/>
      <c r="E164" s="123">
        <v>388</v>
      </c>
      <c r="F164" s="133"/>
      <c r="G164" s="127"/>
      <c r="H164" s="106"/>
      <c r="I164" s="136"/>
      <c r="J164" s="140">
        <f t="shared" si="11"/>
        <v>5171947</v>
      </c>
      <c r="K164" s="149" t="str">
        <f t="shared" si="8"/>
        <v>OK</v>
      </c>
      <c r="L164" s="151" t="str">
        <f t="shared" si="9"/>
        <v>September</v>
      </c>
      <c r="M164" s="152">
        <f t="shared" si="10"/>
        <v>2019</v>
      </c>
    </row>
    <row r="165" spans="2:13" x14ac:dyDescent="0.25">
      <c r="B165" s="144" t="s">
        <v>753</v>
      </c>
      <c r="C165" s="134">
        <v>43715</v>
      </c>
      <c r="D165" s="120"/>
      <c r="E165" s="123">
        <v>389</v>
      </c>
      <c r="F165" s="133"/>
      <c r="G165" s="127"/>
      <c r="H165" s="106"/>
      <c r="I165" s="136"/>
      <c r="J165" s="140">
        <f t="shared" si="11"/>
        <v>5171947</v>
      </c>
      <c r="K165" s="149" t="str">
        <f t="shared" si="8"/>
        <v>OK</v>
      </c>
      <c r="L165" s="151" t="str">
        <f t="shared" si="9"/>
        <v>September</v>
      </c>
      <c r="M165" s="152">
        <f t="shared" si="10"/>
        <v>2019</v>
      </c>
    </row>
    <row r="166" spans="2:13" x14ac:dyDescent="0.25">
      <c r="B166" s="144" t="s">
        <v>754</v>
      </c>
      <c r="C166" s="134">
        <v>43716</v>
      </c>
      <c r="D166" s="120"/>
      <c r="E166" s="123">
        <v>390</v>
      </c>
      <c r="F166" s="133"/>
      <c r="G166" s="127"/>
      <c r="H166" s="106"/>
      <c r="I166" s="136"/>
      <c r="J166" s="140">
        <f t="shared" si="11"/>
        <v>5171947</v>
      </c>
      <c r="K166" s="149" t="str">
        <f t="shared" si="8"/>
        <v>OK</v>
      </c>
      <c r="L166" s="151" t="str">
        <f t="shared" si="9"/>
        <v>September</v>
      </c>
      <c r="M166" s="152">
        <f t="shared" si="10"/>
        <v>2019</v>
      </c>
    </row>
    <row r="167" spans="2:13" x14ac:dyDescent="0.25">
      <c r="B167" s="144" t="s">
        <v>755</v>
      </c>
      <c r="C167" s="134">
        <v>43717</v>
      </c>
      <c r="D167" s="120"/>
      <c r="E167" s="123">
        <v>391</v>
      </c>
      <c r="F167" s="133"/>
      <c r="G167" s="127"/>
      <c r="H167" s="106"/>
      <c r="I167" s="136"/>
      <c r="J167" s="140">
        <f t="shared" si="11"/>
        <v>5171947</v>
      </c>
      <c r="K167" s="149" t="str">
        <f t="shared" si="8"/>
        <v>OK</v>
      </c>
      <c r="L167" s="151" t="str">
        <f t="shared" si="9"/>
        <v>September</v>
      </c>
      <c r="M167" s="152">
        <f t="shared" si="10"/>
        <v>2019</v>
      </c>
    </row>
    <row r="168" spans="2:13" x14ac:dyDescent="0.25">
      <c r="B168" s="144" t="s">
        <v>756</v>
      </c>
      <c r="C168" s="134">
        <v>43718</v>
      </c>
      <c r="D168" s="120"/>
      <c r="E168" s="123">
        <v>392</v>
      </c>
      <c r="F168" s="133"/>
      <c r="G168" s="127"/>
      <c r="H168" s="106"/>
      <c r="I168" s="136"/>
      <c r="J168" s="140">
        <f t="shared" si="11"/>
        <v>5171947</v>
      </c>
      <c r="K168" s="149" t="str">
        <f t="shared" si="8"/>
        <v>OK</v>
      </c>
      <c r="L168" s="151" t="str">
        <f t="shared" si="9"/>
        <v>September</v>
      </c>
      <c r="M168" s="152">
        <f t="shared" si="10"/>
        <v>2019</v>
      </c>
    </row>
    <row r="169" spans="2:13" x14ac:dyDescent="0.25">
      <c r="B169" s="144" t="s">
        <v>757</v>
      </c>
      <c r="C169" s="134">
        <v>43719</v>
      </c>
      <c r="D169" s="120"/>
      <c r="E169" s="123">
        <v>393</v>
      </c>
      <c r="F169" s="133"/>
      <c r="G169" s="127"/>
      <c r="H169" s="106"/>
      <c r="I169" s="136"/>
      <c r="J169" s="140">
        <f t="shared" si="11"/>
        <v>5171947</v>
      </c>
      <c r="K169" s="149" t="str">
        <f t="shared" si="8"/>
        <v>OK</v>
      </c>
      <c r="L169" s="151" t="str">
        <f t="shared" si="9"/>
        <v>September</v>
      </c>
      <c r="M169" s="152">
        <f t="shared" si="10"/>
        <v>2019</v>
      </c>
    </row>
    <row r="170" spans="2:13" x14ac:dyDescent="0.25">
      <c r="B170" s="144" t="s">
        <v>758</v>
      </c>
      <c r="C170" s="134">
        <v>43720</v>
      </c>
      <c r="D170" s="120"/>
      <c r="E170" s="123">
        <v>394</v>
      </c>
      <c r="F170" s="133"/>
      <c r="G170" s="127"/>
      <c r="H170" s="106"/>
      <c r="I170" s="136"/>
      <c r="J170" s="140">
        <f t="shared" si="11"/>
        <v>5171947</v>
      </c>
      <c r="K170" s="149" t="str">
        <f t="shared" si="8"/>
        <v>OK</v>
      </c>
      <c r="L170" s="151" t="str">
        <f t="shared" si="9"/>
        <v>September</v>
      </c>
      <c r="M170" s="152">
        <f t="shared" si="10"/>
        <v>2019</v>
      </c>
    </row>
    <row r="171" spans="2:13" x14ac:dyDescent="0.25">
      <c r="B171" s="144" t="s">
        <v>759</v>
      </c>
      <c r="C171" s="134">
        <v>43721</v>
      </c>
      <c r="D171" s="120"/>
      <c r="E171" s="123">
        <v>395</v>
      </c>
      <c r="F171" s="133"/>
      <c r="G171" s="127"/>
      <c r="H171" s="106"/>
      <c r="I171" s="136"/>
      <c r="J171" s="140">
        <f t="shared" si="11"/>
        <v>5171947</v>
      </c>
      <c r="K171" s="149" t="str">
        <f t="shared" si="8"/>
        <v>OK</v>
      </c>
      <c r="L171" s="151" t="str">
        <f t="shared" si="9"/>
        <v>September</v>
      </c>
      <c r="M171" s="152">
        <f t="shared" si="10"/>
        <v>2019</v>
      </c>
    </row>
    <row r="172" spans="2:13" x14ac:dyDescent="0.25">
      <c r="B172" s="144" t="s">
        <v>760</v>
      </c>
      <c r="C172" s="134">
        <v>43722</v>
      </c>
      <c r="D172" s="120"/>
      <c r="E172" s="123">
        <v>396</v>
      </c>
      <c r="F172" s="133"/>
      <c r="G172" s="127"/>
      <c r="H172" s="106"/>
      <c r="I172" s="136"/>
      <c r="J172" s="140">
        <f t="shared" si="11"/>
        <v>5171947</v>
      </c>
      <c r="K172" s="149" t="str">
        <f t="shared" si="8"/>
        <v>OK</v>
      </c>
      <c r="L172" s="151" t="str">
        <f t="shared" si="9"/>
        <v>September</v>
      </c>
      <c r="M172" s="152">
        <f t="shared" si="10"/>
        <v>2019</v>
      </c>
    </row>
    <row r="173" spans="2:13" x14ac:dyDescent="0.25">
      <c r="B173" s="144" t="s">
        <v>761</v>
      </c>
      <c r="C173" s="134">
        <v>43723</v>
      </c>
      <c r="D173" s="120"/>
      <c r="E173" s="123">
        <v>397</v>
      </c>
      <c r="F173" s="133"/>
      <c r="G173" s="127"/>
      <c r="H173" s="106"/>
      <c r="I173" s="136"/>
      <c r="J173" s="140">
        <f t="shared" si="11"/>
        <v>5171947</v>
      </c>
      <c r="K173" s="149" t="str">
        <f t="shared" si="8"/>
        <v>OK</v>
      </c>
      <c r="L173" s="151" t="str">
        <f t="shared" si="9"/>
        <v>September</v>
      </c>
      <c r="M173" s="152">
        <f t="shared" si="10"/>
        <v>2019</v>
      </c>
    </row>
    <row r="174" spans="2:13" x14ac:dyDescent="0.25">
      <c r="B174" s="144" t="s">
        <v>762</v>
      </c>
      <c r="C174" s="134">
        <v>43724</v>
      </c>
      <c r="D174" s="120"/>
      <c r="E174" s="123">
        <v>398</v>
      </c>
      <c r="F174" s="133"/>
      <c r="G174" s="127"/>
      <c r="H174" s="106"/>
      <c r="I174" s="136"/>
      <c r="J174" s="140">
        <f t="shared" si="11"/>
        <v>5171947</v>
      </c>
      <c r="K174" s="149" t="str">
        <f t="shared" si="8"/>
        <v>OK</v>
      </c>
      <c r="L174" s="151" t="str">
        <f t="shared" si="9"/>
        <v>September</v>
      </c>
      <c r="M174" s="152">
        <f t="shared" si="10"/>
        <v>2019</v>
      </c>
    </row>
    <row r="175" spans="2:13" x14ac:dyDescent="0.25">
      <c r="B175" s="144" t="s">
        <v>763</v>
      </c>
      <c r="C175" s="134">
        <v>43725</v>
      </c>
      <c r="D175" s="120"/>
      <c r="E175" s="123">
        <v>399</v>
      </c>
      <c r="F175" s="133"/>
      <c r="G175" s="127"/>
      <c r="H175" s="106"/>
      <c r="I175" s="136"/>
      <c r="J175" s="140">
        <f t="shared" si="11"/>
        <v>5171947</v>
      </c>
      <c r="K175" s="149" t="str">
        <f t="shared" si="8"/>
        <v>OK</v>
      </c>
      <c r="L175" s="151" t="str">
        <f t="shared" si="9"/>
        <v>September</v>
      </c>
      <c r="M175" s="152">
        <f t="shared" si="10"/>
        <v>2019</v>
      </c>
    </row>
    <row r="176" spans="2:13" x14ac:dyDescent="0.25">
      <c r="B176" s="144" t="s">
        <v>764</v>
      </c>
      <c r="C176" s="134">
        <v>43726</v>
      </c>
      <c r="D176" s="120"/>
      <c r="E176" s="123">
        <v>400</v>
      </c>
      <c r="F176" s="133"/>
      <c r="G176" s="127"/>
      <c r="H176" s="106"/>
      <c r="I176" s="136"/>
      <c r="J176" s="140">
        <f t="shared" si="11"/>
        <v>5171947</v>
      </c>
      <c r="K176" s="149" t="str">
        <f t="shared" si="8"/>
        <v>OK</v>
      </c>
      <c r="L176" s="151" t="str">
        <f t="shared" si="9"/>
        <v>September</v>
      </c>
      <c r="M176" s="152">
        <f t="shared" si="10"/>
        <v>2019</v>
      </c>
    </row>
    <row r="177" spans="2:13" x14ac:dyDescent="0.25">
      <c r="B177" s="144" t="s">
        <v>765</v>
      </c>
      <c r="C177" s="134">
        <v>43727</v>
      </c>
      <c r="D177" s="120"/>
      <c r="E177" s="123">
        <v>401</v>
      </c>
      <c r="F177" s="133"/>
      <c r="G177" s="127"/>
      <c r="H177" s="106"/>
      <c r="I177" s="136"/>
      <c r="J177" s="140">
        <f t="shared" si="11"/>
        <v>5171947</v>
      </c>
      <c r="K177" s="149" t="str">
        <f t="shared" si="8"/>
        <v>OK</v>
      </c>
      <c r="L177" s="151" t="str">
        <f t="shared" si="9"/>
        <v>September</v>
      </c>
      <c r="M177" s="152">
        <f t="shared" si="10"/>
        <v>2019</v>
      </c>
    </row>
    <row r="178" spans="2:13" x14ac:dyDescent="0.25">
      <c r="B178" s="144" t="s">
        <v>766</v>
      </c>
      <c r="C178" s="134">
        <v>43728</v>
      </c>
      <c r="D178" s="120"/>
      <c r="E178" s="123">
        <v>402</v>
      </c>
      <c r="F178" s="133"/>
      <c r="G178" s="127"/>
      <c r="H178" s="106"/>
      <c r="I178" s="136"/>
      <c r="J178" s="140">
        <f t="shared" si="11"/>
        <v>5171947</v>
      </c>
      <c r="K178" s="149" t="str">
        <f t="shared" si="8"/>
        <v>OK</v>
      </c>
      <c r="L178" s="151" t="str">
        <f t="shared" si="9"/>
        <v>September</v>
      </c>
      <c r="M178" s="152">
        <f t="shared" si="10"/>
        <v>2019</v>
      </c>
    </row>
    <row r="179" spans="2:13" x14ac:dyDescent="0.25">
      <c r="B179" s="144" t="s">
        <v>767</v>
      </c>
      <c r="C179" s="134">
        <v>43729</v>
      </c>
      <c r="D179" s="120"/>
      <c r="E179" s="123">
        <v>403</v>
      </c>
      <c r="F179" s="133"/>
      <c r="G179" s="127"/>
      <c r="H179" s="106"/>
      <c r="I179" s="136"/>
      <c r="J179" s="140">
        <f t="shared" si="11"/>
        <v>5171947</v>
      </c>
      <c r="K179" s="149" t="str">
        <f t="shared" si="8"/>
        <v>OK</v>
      </c>
      <c r="L179" s="151" t="str">
        <f t="shared" si="9"/>
        <v>September</v>
      </c>
      <c r="M179" s="152">
        <f t="shared" si="10"/>
        <v>2019</v>
      </c>
    </row>
    <row r="180" spans="2:13" x14ac:dyDescent="0.25">
      <c r="B180" s="144" t="s">
        <v>768</v>
      </c>
      <c r="C180" s="134">
        <v>43730</v>
      </c>
      <c r="D180" s="120"/>
      <c r="E180" s="123">
        <v>404</v>
      </c>
      <c r="F180" s="133"/>
      <c r="G180" s="127"/>
      <c r="H180" s="106"/>
      <c r="I180" s="136"/>
      <c r="J180" s="140">
        <f t="shared" si="11"/>
        <v>5171947</v>
      </c>
      <c r="K180" s="149" t="str">
        <f t="shared" si="8"/>
        <v>OK</v>
      </c>
      <c r="L180" s="151" t="str">
        <f t="shared" si="9"/>
        <v>September</v>
      </c>
      <c r="M180" s="152">
        <f t="shared" si="10"/>
        <v>2019</v>
      </c>
    </row>
    <row r="181" spans="2:13" x14ac:dyDescent="0.25">
      <c r="B181" s="144" t="s">
        <v>769</v>
      </c>
      <c r="C181" s="134">
        <v>43731</v>
      </c>
      <c r="D181" s="120"/>
      <c r="E181" s="123">
        <v>405</v>
      </c>
      <c r="F181" s="133"/>
      <c r="G181" s="127"/>
      <c r="H181" s="106"/>
      <c r="I181" s="136"/>
      <c r="J181" s="140">
        <f t="shared" si="11"/>
        <v>5171947</v>
      </c>
      <c r="K181" s="149" t="str">
        <f t="shared" si="8"/>
        <v>OK</v>
      </c>
      <c r="L181" s="151" t="str">
        <f t="shared" si="9"/>
        <v>September</v>
      </c>
      <c r="M181" s="152">
        <f t="shared" si="10"/>
        <v>2019</v>
      </c>
    </row>
    <row r="182" spans="2:13" x14ac:dyDescent="0.25">
      <c r="B182" s="144" t="s">
        <v>770</v>
      </c>
      <c r="C182" s="134">
        <v>43732</v>
      </c>
      <c r="D182" s="120"/>
      <c r="E182" s="123">
        <v>406</v>
      </c>
      <c r="F182" s="133"/>
      <c r="G182" s="127"/>
      <c r="H182" s="106"/>
      <c r="I182" s="136"/>
      <c r="J182" s="140">
        <f t="shared" si="11"/>
        <v>5171947</v>
      </c>
      <c r="K182" s="149" t="str">
        <f t="shared" si="8"/>
        <v>OK</v>
      </c>
      <c r="L182" s="151" t="str">
        <f t="shared" si="9"/>
        <v>September</v>
      </c>
      <c r="M182" s="152">
        <f t="shared" si="10"/>
        <v>2019</v>
      </c>
    </row>
    <row r="183" spans="2:13" x14ac:dyDescent="0.25">
      <c r="B183" s="144" t="s">
        <v>771</v>
      </c>
      <c r="C183" s="134">
        <v>43733</v>
      </c>
      <c r="D183" s="120"/>
      <c r="E183" s="123">
        <v>407</v>
      </c>
      <c r="F183" s="133"/>
      <c r="G183" s="127"/>
      <c r="H183" s="106"/>
      <c r="I183" s="136"/>
      <c r="J183" s="140">
        <f t="shared" si="11"/>
        <v>5171947</v>
      </c>
      <c r="K183" s="149" t="str">
        <f t="shared" si="8"/>
        <v>OK</v>
      </c>
      <c r="L183" s="151" t="str">
        <f t="shared" si="9"/>
        <v>September</v>
      </c>
      <c r="M183" s="152">
        <f t="shared" si="10"/>
        <v>2019</v>
      </c>
    </row>
    <row r="184" spans="2:13" x14ac:dyDescent="0.25">
      <c r="B184" s="144" t="s">
        <v>772</v>
      </c>
      <c r="C184" s="134">
        <v>43734</v>
      </c>
      <c r="D184" s="120"/>
      <c r="E184" s="123">
        <v>408</v>
      </c>
      <c r="F184" s="133"/>
      <c r="G184" s="127"/>
      <c r="H184" s="106"/>
      <c r="I184" s="136"/>
      <c r="J184" s="140">
        <f t="shared" si="11"/>
        <v>5171947</v>
      </c>
      <c r="K184" s="149" t="str">
        <f t="shared" si="8"/>
        <v>OK</v>
      </c>
      <c r="L184" s="151" t="str">
        <f t="shared" si="9"/>
        <v>September</v>
      </c>
      <c r="M184" s="152">
        <f t="shared" si="10"/>
        <v>2019</v>
      </c>
    </row>
    <row r="185" spans="2:13" x14ac:dyDescent="0.25">
      <c r="B185" s="144" t="s">
        <v>773</v>
      </c>
      <c r="C185" s="134">
        <v>43735</v>
      </c>
      <c r="D185" s="120"/>
      <c r="E185" s="123">
        <v>409</v>
      </c>
      <c r="F185" s="133"/>
      <c r="G185" s="127"/>
      <c r="H185" s="106"/>
      <c r="I185" s="136"/>
      <c r="J185" s="140">
        <f t="shared" si="11"/>
        <v>5171947</v>
      </c>
      <c r="K185" s="149" t="str">
        <f t="shared" si="8"/>
        <v>OK</v>
      </c>
      <c r="L185" s="151" t="str">
        <f t="shared" si="9"/>
        <v>September</v>
      </c>
      <c r="M185" s="152">
        <f t="shared" si="10"/>
        <v>2019</v>
      </c>
    </row>
    <row r="186" spans="2:13" x14ac:dyDescent="0.25">
      <c r="B186" s="144" t="s">
        <v>774</v>
      </c>
      <c r="C186" s="134">
        <v>43736</v>
      </c>
      <c r="D186" s="120"/>
      <c r="E186" s="123">
        <v>410</v>
      </c>
      <c r="F186" s="133"/>
      <c r="G186" s="127"/>
      <c r="H186" s="106"/>
      <c r="I186" s="136"/>
      <c r="J186" s="140">
        <f t="shared" si="11"/>
        <v>5171947</v>
      </c>
      <c r="K186" s="149" t="str">
        <f t="shared" si="8"/>
        <v>OK</v>
      </c>
      <c r="L186" s="151" t="str">
        <f t="shared" si="9"/>
        <v>September</v>
      </c>
      <c r="M186" s="152">
        <f t="shared" si="10"/>
        <v>2019</v>
      </c>
    </row>
    <row r="187" spans="2:13" x14ac:dyDescent="0.25">
      <c r="B187" s="144" t="s">
        <v>775</v>
      </c>
      <c r="C187" s="134">
        <v>43737</v>
      </c>
      <c r="D187" s="120"/>
      <c r="E187" s="123">
        <v>411</v>
      </c>
      <c r="F187" s="133"/>
      <c r="G187" s="127"/>
      <c r="H187" s="106"/>
      <c r="I187" s="136"/>
      <c r="J187" s="140">
        <f t="shared" si="11"/>
        <v>5171947</v>
      </c>
      <c r="K187" s="149" t="str">
        <f t="shared" si="8"/>
        <v>OK</v>
      </c>
      <c r="L187" s="151" t="str">
        <f t="shared" si="9"/>
        <v>September</v>
      </c>
      <c r="M187" s="152">
        <f t="shared" si="10"/>
        <v>2019</v>
      </c>
    </row>
    <row r="188" spans="2:13" x14ac:dyDescent="0.25">
      <c r="B188" s="144" t="s">
        <v>776</v>
      </c>
      <c r="C188" s="134">
        <v>43738</v>
      </c>
      <c r="D188" s="120"/>
      <c r="E188" s="123">
        <v>412</v>
      </c>
      <c r="F188" s="133"/>
      <c r="G188" s="127"/>
      <c r="H188" s="106"/>
      <c r="I188" s="136"/>
      <c r="J188" s="140">
        <f t="shared" si="11"/>
        <v>5171947</v>
      </c>
      <c r="K188" s="149" t="str">
        <f t="shared" si="8"/>
        <v>OK</v>
      </c>
      <c r="L188" s="151" t="str">
        <f t="shared" si="9"/>
        <v>September</v>
      </c>
      <c r="M188" s="152">
        <f t="shared" si="10"/>
        <v>2019</v>
      </c>
    </row>
    <row r="189" spans="2:13" x14ac:dyDescent="0.25">
      <c r="B189" s="144" t="s">
        <v>777</v>
      </c>
      <c r="C189" s="134">
        <v>43739</v>
      </c>
      <c r="D189" s="120"/>
      <c r="E189" s="123">
        <v>413</v>
      </c>
      <c r="F189" s="133"/>
      <c r="G189" s="127"/>
      <c r="H189" s="106"/>
      <c r="I189" s="136"/>
      <c r="J189" s="140">
        <f t="shared" si="11"/>
        <v>5171947</v>
      </c>
      <c r="K189" s="149" t="str">
        <f t="shared" si="8"/>
        <v>OK</v>
      </c>
      <c r="L189" s="151" t="str">
        <f t="shared" si="9"/>
        <v>October</v>
      </c>
      <c r="M189" s="152">
        <f t="shared" si="10"/>
        <v>2019</v>
      </c>
    </row>
    <row r="190" spans="2:13" x14ac:dyDescent="0.25">
      <c r="B190" s="144" t="s">
        <v>778</v>
      </c>
      <c r="C190" s="134">
        <v>43740</v>
      </c>
      <c r="D190" s="120"/>
      <c r="E190" s="123">
        <v>414</v>
      </c>
      <c r="F190" s="133"/>
      <c r="G190" s="127"/>
      <c r="H190" s="106"/>
      <c r="I190" s="136"/>
      <c r="J190" s="140">
        <f t="shared" si="11"/>
        <v>5171947</v>
      </c>
      <c r="K190" s="149" t="str">
        <f t="shared" si="8"/>
        <v>OK</v>
      </c>
      <c r="L190" s="151" t="str">
        <f t="shared" si="9"/>
        <v>October</v>
      </c>
      <c r="M190" s="152">
        <f t="shared" si="10"/>
        <v>2019</v>
      </c>
    </row>
    <row r="191" spans="2:13" x14ac:dyDescent="0.25">
      <c r="B191" s="144" t="s">
        <v>779</v>
      </c>
      <c r="C191" s="134">
        <v>43741</v>
      </c>
      <c r="D191" s="120"/>
      <c r="E191" s="123">
        <v>415</v>
      </c>
      <c r="F191" s="133"/>
      <c r="G191" s="127"/>
      <c r="H191" s="106"/>
      <c r="I191" s="136"/>
      <c r="J191" s="140">
        <f t="shared" si="11"/>
        <v>5171947</v>
      </c>
      <c r="K191" s="149" t="str">
        <f t="shared" si="8"/>
        <v>OK</v>
      </c>
      <c r="L191" s="151" t="str">
        <f t="shared" si="9"/>
        <v>October</v>
      </c>
      <c r="M191" s="152">
        <f t="shared" si="10"/>
        <v>2019</v>
      </c>
    </row>
    <row r="192" spans="2:13" x14ac:dyDescent="0.25">
      <c r="B192" s="144" t="s">
        <v>780</v>
      </c>
      <c r="C192" s="134">
        <v>43742</v>
      </c>
      <c r="D192" s="120"/>
      <c r="E192" s="123">
        <v>416</v>
      </c>
      <c r="F192" s="133"/>
      <c r="G192" s="127"/>
      <c r="H192" s="106"/>
      <c r="I192" s="136"/>
      <c r="J192" s="140">
        <f t="shared" si="11"/>
        <v>5171947</v>
      </c>
      <c r="K192" s="149" t="str">
        <f t="shared" si="8"/>
        <v>OK</v>
      </c>
      <c r="L192" s="151" t="str">
        <f t="shared" si="9"/>
        <v>October</v>
      </c>
      <c r="M192" s="152">
        <f t="shared" si="10"/>
        <v>2019</v>
      </c>
    </row>
    <row r="193" spans="2:13" x14ac:dyDescent="0.25">
      <c r="B193" s="144" t="s">
        <v>781</v>
      </c>
      <c r="C193" s="134">
        <v>43743</v>
      </c>
      <c r="D193" s="120"/>
      <c r="E193" s="123">
        <v>417</v>
      </c>
      <c r="F193" s="133"/>
      <c r="G193" s="127"/>
      <c r="H193" s="106"/>
      <c r="I193" s="136"/>
      <c r="J193" s="140">
        <f t="shared" si="11"/>
        <v>5171947</v>
      </c>
      <c r="K193" s="149" t="str">
        <f t="shared" si="8"/>
        <v>OK</v>
      </c>
      <c r="L193" s="151" t="str">
        <f t="shared" si="9"/>
        <v>October</v>
      </c>
      <c r="M193" s="152">
        <f t="shared" si="10"/>
        <v>2019</v>
      </c>
    </row>
    <row r="194" spans="2:13" x14ac:dyDescent="0.25">
      <c r="B194" s="144" t="s">
        <v>782</v>
      </c>
      <c r="C194" s="134">
        <v>43744</v>
      </c>
      <c r="D194" s="120"/>
      <c r="E194" s="123">
        <v>418</v>
      </c>
      <c r="F194" s="133"/>
      <c r="G194" s="127"/>
      <c r="H194" s="106"/>
      <c r="I194" s="136"/>
      <c r="J194" s="140">
        <f t="shared" si="11"/>
        <v>5171947</v>
      </c>
      <c r="K194" s="149" t="str">
        <f t="shared" si="8"/>
        <v>OK</v>
      </c>
      <c r="L194" s="151" t="str">
        <f t="shared" si="9"/>
        <v>October</v>
      </c>
      <c r="M194" s="152">
        <f t="shared" si="10"/>
        <v>2019</v>
      </c>
    </row>
    <row r="195" spans="2:13" x14ac:dyDescent="0.25">
      <c r="B195" s="144" t="s">
        <v>783</v>
      </c>
      <c r="C195" s="134">
        <v>43745</v>
      </c>
      <c r="D195" s="120"/>
      <c r="E195" s="123">
        <v>419</v>
      </c>
      <c r="F195" s="133"/>
      <c r="G195" s="127"/>
      <c r="H195" s="106"/>
      <c r="I195" s="136"/>
      <c r="J195" s="140">
        <f t="shared" si="11"/>
        <v>5171947</v>
      </c>
      <c r="K195" s="149" t="str">
        <f t="shared" si="8"/>
        <v>OK</v>
      </c>
      <c r="L195" s="151" t="str">
        <f t="shared" si="9"/>
        <v>October</v>
      </c>
      <c r="M195" s="152">
        <f t="shared" si="10"/>
        <v>2019</v>
      </c>
    </row>
    <row r="196" spans="2:13" x14ac:dyDescent="0.25">
      <c r="B196" s="144" t="s">
        <v>784</v>
      </c>
      <c r="C196" s="134">
        <v>43746</v>
      </c>
      <c r="D196" s="120"/>
      <c r="E196" s="123">
        <v>420</v>
      </c>
      <c r="F196" s="133"/>
      <c r="G196" s="127"/>
      <c r="H196" s="106"/>
      <c r="I196" s="136"/>
      <c r="J196" s="140">
        <f t="shared" si="11"/>
        <v>5171947</v>
      </c>
      <c r="K196" s="149" t="str">
        <f t="shared" si="8"/>
        <v>OK</v>
      </c>
      <c r="L196" s="151" t="str">
        <f t="shared" si="9"/>
        <v>October</v>
      </c>
      <c r="M196" s="152">
        <f t="shared" si="10"/>
        <v>2019</v>
      </c>
    </row>
    <row r="197" spans="2:13" x14ac:dyDescent="0.25">
      <c r="B197" s="144" t="s">
        <v>785</v>
      </c>
      <c r="C197" s="134">
        <v>43747</v>
      </c>
      <c r="D197" s="120"/>
      <c r="E197" s="123">
        <v>421</v>
      </c>
      <c r="F197" s="133"/>
      <c r="G197" s="127"/>
      <c r="H197" s="106"/>
      <c r="I197" s="136"/>
      <c r="J197" s="140">
        <f t="shared" si="11"/>
        <v>5171947</v>
      </c>
      <c r="K197" s="149" t="str">
        <f t="shared" si="8"/>
        <v>OK</v>
      </c>
      <c r="L197" s="151" t="str">
        <f t="shared" si="9"/>
        <v>October</v>
      </c>
      <c r="M197" s="152">
        <f t="shared" si="10"/>
        <v>2019</v>
      </c>
    </row>
    <row r="198" spans="2:13" x14ac:dyDescent="0.25">
      <c r="B198" s="144" t="s">
        <v>786</v>
      </c>
      <c r="C198" s="134">
        <v>43748</v>
      </c>
      <c r="D198" s="120"/>
      <c r="E198" s="123">
        <v>422</v>
      </c>
      <c r="F198" s="133"/>
      <c r="G198" s="127"/>
      <c r="H198" s="106"/>
      <c r="I198" s="136"/>
      <c r="J198" s="140">
        <f t="shared" si="11"/>
        <v>5171947</v>
      </c>
      <c r="K198" s="149" t="str">
        <f t="shared" si="8"/>
        <v>OK</v>
      </c>
      <c r="L198" s="151" t="str">
        <f t="shared" si="9"/>
        <v>October</v>
      </c>
      <c r="M198" s="152">
        <f t="shared" si="10"/>
        <v>2019</v>
      </c>
    </row>
    <row r="199" spans="2:13" x14ac:dyDescent="0.25">
      <c r="B199" s="144" t="s">
        <v>787</v>
      </c>
      <c r="C199" s="134">
        <v>43749</v>
      </c>
      <c r="D199" s="120"/>
      <c r="E199" s="123">
        <v>423</v>
      </c>
      <c r="F199" s="133"/>
      <c r="G199" s="127"/>
      <c r="H199" s="106"/>
      <c r="I199" s="136"/>
      <c r="J199" s="140">
        <f t="shared" si="11"/>
        <v>5171947</v>
      </c>
      <c r="K199" s="149" t="str">
        <f t="shared" si="8"/>
        <v>OK</v>
      </c>
      <c r="L199" s="151" t="str">
        <f t="shared" si="9"/>
        <v>October</v>
      </c>
      <c r="M199" s="152">
        <f t="shared" si="10"/>
        <v>2019</v>
      </c>
    </row>
    <row r="200" spans="2:13" x14ac:dyDescent="0.25">
      <c r="B200" s="144" t="s">
        <v>788</v>
      </c>
      <c r="C200" s="134">
        <v>43750</v>
      </c>
      <c r="D200" s="120"/>
      <c r="E200" s="123">
        <v>424</v>
      </c>
      <c r="F200" s="133"/>
      <c r="G200" s="127"/>
      <c r="H200" s="106"/>
      <c r="I200" s="136"/>
      <c r="J200" s="140">
        <f t="shared" si="11"/>
        <v>5171947</v>
      </c>
      <c r="K200" s="149" t="str">
        <f t="shared" si="8"/>
        <v>OK</v>
      </c>
      <c r="L200" s="151" t="str">
        <f t="shared" si="9"/>
        <v>October</v>
      </c>
      <c r="M200" s="152">
        <f t="shared" si="10"/>
        <v>2019</v>
      </c>
    </row>
    <row r="201" spans="2:13" x14ac:dyDescent="0.25">
      <c r="B201" s="144" t="s">
        <v>789</v>
      </c>
      <c r="C201" s="134">
        <v>43751</v>
      </c>
      <c r="D201" s="120"/>
      <c r="E201" s="123">
        <v>425</v>
      </c>
      <c r="F201" s="133"/>
      <c r="G201" s="127"/>
      <c r="H201" s="106"/>
      <c r="I201" s="136"/>
      <c r="J201" s="140">
        <f t="shared" si="11"/>
        <v>5171947</v>
      </c>
      <c r="K201" s="149" t="str">
        <f t="shared" si="8"/>
        <v>OK</v>
      </c>
      <c r="L201" s="151" t="str">
        <f t="shared" si="9"/>
        <v>October</v>
      </c>
      <c r="M201" s="152">
        <f t="shared" si="10"/>
        <v>2019</v>
      </c>
    </row>
    <row r="202" spans="2:13" x14ac:dyDescent="0.25">
      <c r="B202" s="144" t="s">
        <v>790</v>
      </c>
      <c r="C202" s="134">
        <v>43752</v>
      </c>
      <c r="D202" s="120"/>
      <c r="E202" s="123">
        <v>426</v>
      </c>
      <c r="F202" s="133"/>
      <c r="G202" s="127"/>
      <c r="H202" s="106"/>
      <c r="I202" s="136"/>
      <c r="J202" s="140">
        <f t="shared" si="11"/>
        <v>5171947</v>
      </c>
      <c r="K202" s="149" t="str">
        <f t="shared" si="8"/>
        <v>OK</v>
      </c>
      <c r="L202" s="151" t="str">
        <f t="shared" si="9"/>
        <v>October</v>
      </c>
      <c r="M202" s="152">
        <f t="shared" si="10"/>
        <v>2019</v>
      </c>
    </row>
    <row r="203" spans="2:13" x14ac:dyDescent="0.25">
      <c r="B203" s="144" t="s">
        <v>791</v>
      </c>
      <c r="C203" s="134">
        <v>43753</v>
      </c>
      <c r="D203" s="120"/>
      <c r="E203" s="123">
        <v>427</v>
      </c>
      <c r="F203" s="133"/>
      <c r="G203" s="127"/>
      <c r="H203" s="106"/>
      <c r="I203" s="136"/>
      <c r="J203" s="140">
        <f t="shared" si="11"/>
        <v>5171947</v>
      </c>
      <c r="K203" s="149" t="str">
        <f t="shared" ref="K203:K266" si="12">IF(AND(F203&lt;&gt;"",G203&lt;&gt;""),"ERROR","OK")</f>
        <v>OK</v>
      </c>
      <c r="L203" s="151" t="str">
        <f t="shared" ref="L203:L266" si="13">TEXT(C203,"mmmm")</f>
        <v>October</v>
      </c>
      <c r="M203" s="152">
        <f t="shared" ref="M203:M266" si="14">YEAR(C203)</f>
        <v>2019</v>
      </c>
    </row>
    <row r="204" spans="2:13" x14ac:dyDescent="0.25">
      <c r="B204" s="144" t="s">
        <v>792</v>
      </c>
      <c r="C204" s="134">
        <v>43754</v>
      </c>
      <c r="D204" s="120"/>
      <c r="E204" s="123">
        <v>428</v>
      </c>
      <c r="F204" s="133"/>
      <c r="G204" s="127"/>
      <c r="H204" s="106"/>
      <c r="I204" s="136"/>
      <c r="J204" s="140">
        <f t="shared" ref="J204:J267" si="15">($J203+$F204)-$G204</f>
        <v>5171947</v>
      </c>
      <c r="K204" s="149" t="str">
        <f t="shared" si="12"/>
        <v>OK</v>
      </c>
      <c r="L204" s="151" t="str">
        <f t="shared" si="13"/>
        <v>October</v>
      </c>
      <c r="M204" s="152">
        <f t="shared" si="14"/>
        <v>2019</v>
      </c>
    </row>
    <row r="205" spans="2:13" x14ac:dyDescent="0.25">
      <c r="B205" s="144" t="s">
        <v>793</v>
      </c>
      <c r="C205" s="134">
        <v>43755</v>
      </c>
      <c r="D205" s="120"/>
      <c r="E205" s="123">
        <v>429</v>
      </c>
      <c r="F205" s="133"/>
      <c r="G205" s="127"/>
      <c r="H205" s="106"/>
      <c r="I205" s="136"/>
      <c r="J205" s="140">
        <f t="shared" si="15"/>
        <v>5171947</v>
      </c>
      <c r="K205" s="149" t="str">
        <f t="shared" si="12"/>
        <v>OK</v>
      </c>
      <c r="L205" s="151" t="str">
        <f t="shared" si="13"/>
        <v>October</v>
      </c>
      <c r="M205" s="152">
        <f t="shared" si="14"/>
        <v>2019</v>
      </c>
    </row>
    <row r="206" spans="2:13" x14ac:dyDescent="0.25">
      <c r="B206" s="144" t="s">
        <v>794</v>
      </c>
      <c r="C206" s="134">
        <v>43756</v>
      </c>
      <c r="D206" s="120"/>
      <c r="E206" s="123">
        <v>430</v>
      </c>
      <c r="F206" s="133"/>
      <c r="G206" s="127"/>
      <c r="H206" s="106"/>
      <c r="I206" s="136"/>
      <c r="J206" s="140">
        <f t="shared" si="15"/>
        <v>5171947</v>
      </c>
      <c r="K206" s="149" t="str">
        <f t="shared" si="12"/>
        <v>OK</v>
      </c>
      <c r="L206" s="151" t="str">
        <f t="shared" si="13"/>
        <v>October</v>
      </c>
      <c r="M206" s="152">
        <f t="shared" si="14"/>
        <v>2019</v>
      </c>
    </row>
    <row r="207" spans="2:13" x14ac:dyDescent="0.25">
      <c r="B207" s="144" t="s">
        <v>795</v>
      </c>
      <c r="C207" s="134">
        <v>43757</v>
      </c>
      <c r="D207" s="120"/>
      <c r="E207" s="123">
        <v>431</v>
      </c>
      <c r="F207" s="133"/>
      <c r="G207" s="127"/>
      <c r="H207" s="106"/>
      <c r="I207" s="136"/>
      <c r="J207" s="140">
        <f t="shared" si="15"/>
        <v>5171947</v>
      </c>
      <c r="K207" s="149" t="str">
        <f t="shared" si="12"/>
        <v>OK</v>
      </c>
      <c r="L207" s="151" t="str">
        <f t="shared" si="13"/>
        <v>October</v>
      </c>
      <c r="M207" s="152">
        <f t="shared" si="14"/>
        <v>2019</v>
      </c>
    </row>
    <row r="208" spans="2:13" x14ac:dyDescent="0.25">
      <c r="B208" s="144" t="s">
        <v>796</v>
      </c>
      <c r="C208" s="134">
        <v>43758</v>
      </c>
      <c r="D208" s="120"/>
      <c r="E208" s="123">
        <v>432</v>
      </c>
      <c r="F208" s="133"/>
      <c r="G208" s="127"/>
      <c r="H208" s="106"/>
      <c r="I208" s="136"/>
      <c r="J208" s="140">
        <f t="shared" si="15"/>
        <v>5171947</v>
      </c>
      <c r="K208" s="149" t="str">
        <f t="shared" si="12"/>
        <v>OK</v>
      </c>
      <c r="L208" s="151" t="str">
        <f t="shared" si="13"/>
        <v>October</v>
      </c>
      <c r="M208" s="152">
        <f t="shared" si="14"/>
        <v>2019</v>
      </c>
    </row>
    <row r="209" spans="2:13" x14ac:dyDescent="0.25">
      <c r="B209" s="144" t="s">
        <v>797</v>
      </c>
      <c r="C209" s="134">
        <v>43759</v>
      </c>
      <c r="D209" s="120"/>
      <c r="E209" s="123">
        <v>433</v>
      </c>
      <c r="F209" s="133"/>
      <c r="G209" s="127"/>
      <c r="H209" s="106"/>
      <c r="I209" s="136"/>
      <c r="J209" s="140">
        <f t="shared" si="15"/>
        <v>5171947</v>
      </c>
      <c r="K209" s="149" t="str">
        <f t="shared" si="12"/>
        <v>OK</v>
      </c>
      <c r="L209" s="151" t="str">
        <f t="shared" si="13"/>
        <v>October</v>
      </c>
      <c r="M209" s="152">
        <f t="shared" si="14"/>
        <v>2019</v>
      </c>
    </row>
    <row r="210" spans="2:13" x14ac:dyDescent="0.25">
      <c r="B210" s="144" t="s">
        <v>798</v>
      </c>
      <c r="C210" s="134">
        <v>43760</v>
      </c>
      <c r="D210" s="120"/>
      <c r="E210" s="123">
        <v>434</v>
      </c>
      <c r="F210" s="133"/>
      <c r="G210" s="127"/>
      <c r="H210" s="106"/>
      <c r="I210" s="136"/>
      <c r="J210" s="140">
        <f t="shared" si="15"/>
        <v>5171947</v>
      </c>
      <c r="K210" s="149" t="str">
        <f t="shared" si="12"/>
        <v>OK</v>
      </c>
      <c r="L210" s="151" t="str">
        <f t="shared" si="13"/>
        <v>October</v>
      </c>
      <c r="M210" s="152">
        <f t="shared" si="14"/>
        <v>2019</v>
      </c>
    </row>
    <row r="211" spans="2:13" x14ac:dyDescent="0.25">
      <c r="B211" s="144" t="s">
        <v>799</v>
      </c>
      <c r="C211" s="134">
        <v>43761</v>
      </c>
      <c r="D211" s="120"/>
      <c r="E211" s="123">
        <v>435</v>
      </c>
      <c r="F211" s="133"/>
      <c r="G211" s="127"/>
      <c r="H211" s="106"/>
      <c r="I211" s="136"/>
      <c r="J211" s="140">
        <f t="shared" si="15"/>
        <v>5171947</v>
      </c>
      <c r="K211" s="149" t="str">
        <f t="shared" si="12"/>
        <v>OK</v>
      </c>
      <c r="L211" s="151" t="str">
        <f t="shared" si="13"/>
        <v>October</v>
      </c>
      <c r="M211" s="152">
        <f t="shared" si="14"/>
        <v>2019</v>
      </c>
    </row>
    <row r="212" spans="2:13" x14ac:dyDescent="0.25">
      <c r="B212" s="144" t="s">
        <v>800</v>
      </c>
      <c r="C212" s="134">
        <v>43762</v>
      </c>
      <c r="D212" s="120"/>
      <c r="E212" s="123">
        <v>436</v>
      </c>
      <c r="F212" s="133"/>
      <c r="G212" s="127"/>
      <c r="H212" s="106"/>
      <c r="I212" s="136"/>
      <c r="J212" s="140">
        <f t="shared" si="15"/>
        <v>5171947</v>
      </c>
      <c r="K212" s="149" t="str">
        <f t="shared" si="12"/>
        <v>OK</v>
      </c>
      <c r="L212" s="151" t="str">
        <f t="shared" si="13"/>
        <v>October</v>
      </c>
      <c r="M212" s="152">
        <f t="shared" si="14"/>
        <v>2019</v>
      </c>
    </row>
    <row r="213" spans="2:13" x14ac:dyDescent="0.25">
      <c r="B213" s="144" t="s">
        <v>801</v>
      </c>
      <c r="C213" s="134">
        <v>43763</v>
      </c>
      <c r="D213" s="120"/>
      <c r="E213" s="123">
        <v>437</v>
      </c>
      <c r="F213" s="133"/>
      <c r="G213" s="127"/>
      <c r="H213" s="106"/>
      <c r="I213" s="136"/>
      <c r="J213" s="140">
        <f t="shared" si="15"/>
        <v>5171947</v>
      </c>
      <c r="K213" s="149" t="str">
        <f t="shared" si="12"/>
        <v>OK</v>
      </c>
      <c r="L213" s="151" t="str">
        <f t="shared" si="13"/>
        <v>October</v>
      </c>
      <c r="M213" s="152">
        <f t="shared" si="14"/>
        <v>2019</v>
      </c>
    </row>
    <row r="214" spans="2:13" x14ac:dyDescent="0.25">
      <c r="B214" s="144" t="s">
        <v>802</v>
      </c>
      <c r="C214" s="134">
        <v>43764</v>
      </c>
      <c r="D214" s="120"/>
      <c r="E214" s="123">
        <v>438</v>
      </c>
      <c r="F214" s="133"/>
      <c r="G214" s="127"/>
      <c r="H214" s="106"/>
      <c r="I214" s="136"/>
      <c r="J214" s="140">
        <f t="shared" si="15"/>
        <v>5171947</v>
      </c>
      <c r="K214" s="149" t="str">
        <f t="shared" si="12"/>
        <v>OK</v>
      </c>
      <c r="L214" s="151" t="str">
        <f t="shared" si="13"/>
        <v>October</v>
      </c>
      <c r="M214" s="152">
        <f t="shared" si="14"/>
        <v>2019</v>
      </c>
    </row>
    <row r="215" spans="2:13" x14ac:dyDescent="0.25">
      <c r="B215" s="144" t="s">
        <v>803</v>
      </c>
      <c r="C215" s="134">
        <v>43765</v>
      </c>
      <c r="D215" s="120"/>
      <c r="E215" s="123">
        <v>439</v>
      </c>
      <c r="F215" s="133"/>
      <c r="G215" s="127"/>
      <c r="H215" s="106"/>
      <c r="I215" s="136"/>
      <c r="J215" s="140">
        <f t="shared" si="15"/>
        <v>5171947</v>
      </c>
      <c r="K215" s="149" t="str">
        <f t="shared" si="12"/>
        <v>OK</v>
      </c>
      <c r="L215" s="151" t="str">
        <f t="shared" si="13"/>
        <v>October</v>
      </c>
      <c r="M215" s="152">
        <f t="shared" si="14"/>
        <v>2019</v>
      </c>
    </row>
    <row r="216" spans="2:13" x14ac:dyDescent="0.25">
      <c r="B216" s="144" t="s">
        <v>804</v>
      </c>
      <c r="C216" s="134">
        <v>43766</v>
      </c>
      <c r="D216" s="120"/>
      <c r="E216" s="123">
        <v>440</v>
      </c>
      <c r="F216" s="133"/>
      <c r="G216" s="127"/>
      <c r="H216" s="106"/>
      <c r="I216" s="136"/>
      <c r="J216" s="140">
        <f t="shared" si="15"/>
        <v>5171947</v>
      </c>
      <c r="K216" s="149" t="str">
        <f t="shared" si="12"/>
        <v>OK</v>
      </c>
      <c r="L216" s="151" t="str">
        <f t="shared" si="13"/>
        <v>October</v>
      </c>
      <c r="M216" s="152">
        <f t="shared" si="14"/>
        <v>2019</v>
      </c>
    </row>
    <row r="217" spans="2:13" x14ac:dyDescent="0.25">
      <c r="B217" s="144" t="s">
        <v>805</v>
      </c>
      <c r="C217" s="134">
        <v>43767</v>
      </c>
      <c r="D217" s="120"/>
      <c r="E217" s="123">
        <v>441</v>
      </c>
      <c r="F217" s="133"/>
      <c r="G217" s="127"/>
      <c r="H217" s="106"/>
      <c r="I217" s="136"/>
      <c r="J217" s="140">
        <f t="shared" si="15"/>
        <v>5171947</v>
      </c>
      <c r="K217" s="149" t="str">
        <f t="shared" si="12"/>
        <v>OK</v>
      </c>
      <c r="L217" s="151" t="str">
        <f t="shared" si="13"/>
        <v>October</v>
      </c>
      <c r="M217" s="152">
        <f t="shared" si="14"/>
        <v>2019</v>
      </c>
    </row>
    <row r="218" spans="2:13" x14ac:dyDescent="0.25">
      <c r="B218" s="144" t="s">
        <v>806</v>
      </c>
      <c r="C218" s="134">
        <v>43768</v>
      </c>
      <c r="D218" s="120"/>
      <c r="E218" s="123">
        <v>442</v>
      </c>
      <c r="F218" s="133"/>
      <c r="G218" s="127"/>
      <c r="H218" s="106"/>
      <c r="I218" s="136"/>
      <c r="J218" s="140">
        <f t="shared" si="15"/>
        <v>5171947</v>
      </c>
      <c r="K218" s="149" t="str">
        <f t="shared" si="12"/>
        <v>OK</v>
      </c>
      <c r="L218" s="151" t="str">
        <f t="shared" si="13"/>
        <v>October</v>
      </c>
      <c r="M218" s="152">
        <f t="shared" si="14"/>
        <v>2019</v>
      </c>
    </row>
    <row r="219" spans="2:13" x14ac:dyDescent="0.25">
      <c r="B219" s="144" t="s">
        <v>807</v>
      </c>
      <c r="C219" s="134">
        <v>43769</v>
      </c>
      <c r="D219" s="120"/>
      <c r="E219" s="123">
        <v>443</v>
      </c>
      <c r="F219" s="133"/>
      <c r="G219" s="127"/>
      <c r="H219" s="106"/>
      <c r="I219" s="136"/>
      <c r="J219" s="140">
        <f t="shared" si="15"/>
        <v>5171947</v>
      </c>
      <c r="K219" s="149" t="str">
        <f t="shared" si="12"/>
        <v>OK</v>
      </c>
      <c r="L219" s="151" t="str">
        <f t="shared" si="13"/>
        <v>October</v>
      </c>
      <c r="M219" s="152">
        <f t="shared" si="14"/>
        <v>2019</v>
      </c>
    </row>
    <row r="220" spans="2:13" x14ac:dyDescent="0.25">
      <c r="B220" s="144" t="s">
        <v>808</v>
      </c>
      <c r="C220" s="134">
        <v>43770</v>
      </c>
      <c r="D220" s="120"/>
      <c r="E220" s="123">
        <v>444</v>
      </c>
      <c r="F220" s="133"/>
      <c r="G220" s="127"/>
      <c r="H220" s="106"/>
      <c r="I220" s="136"/>
      <c r="J220" s="140">
        <f t="shared" si="15"/>
        <v>5171947</v>
      </c>
      <c r="K220" s="149" t="str">
        <f t="shared" si="12"/>
        <v>OK</v>
      </c>
      <c r="L220" s="151" t="str">
        <f t="shared" si="13"/>
        <v>November</v>
      </c>
      <c r="M220" s="152">
        <f t="shared" si="14"/>
        <v>2019</v>
      </c>
    </row>
    <row r="221" spans="2:13" x14ac:dyDescent="0.25">
      <c r="B221" s="144" t="s">
        <v>809</v>
      </c>
      <c r="C221" s="134">
        <v>43771</v>
      </c>
      <c r="D221" s="120"/>
      <c r="E221" s="123">
        <v>445</v>
      </c>
      <c r="F221" s="133"/>
      <c r="G221" s="127"/>
      <c r="H221" s="106"/>
      <c r="I221" s="136"/>
      <c r="J221" s="140">
        <f t="shared" si="15"/>
        <v>5171947</v>
      </c>
      <c r="K221" s="149" t="str">
        <f t="shared" si="12"/>
        <v>OK</v>
      </c>
      <c r="L221" s="151" t="str">
        <f t="shared" si="13"/>
        <v>November</v>
      </c>
      <c r="M221" s="152">
        <f t="shared" si="14"/>
        <v>2019</v>
      </c>
    </row>
    <row r="222" spans="2:13" x14ac:dyDescent="0.25">
      <c r="B222" s="144" t="s">
        <v>810</v>
      </c>
      <c r="C222" s="134">
        <v>43772</v>
      </c>
      <c r="D222" s="120"/>
      <c r="E222" s="123">
        <v>446</v>
      </c>
      <c r="F222" s="133"/>
      <c r="G222" s="127"/>
      <c r="H222" s="106"/>
      <c r="I222" s="136"/>
      <c r="J222" s="140">
        <f t="shared" si="15"/>
        <v>5171947</v>
      </c>
      <c r="K222" s="149" t="str">
        <f t="shared" si="12"/>
        <v>OK</v>
      </c>
      <c r="L222" s="151" t="str">
        <f t="shared" si="13"/>
        <v>November</v>
      </c>
      <c r="M222" s="152">
        <f t="shared" si="14"/>
        <v>2019</v>
      </c>
    </row>
    <row r="223" spans="2:13" x14ac:dyDescent="0.25">
      <c r="B223" s="144" t="s">
        <v>811</v>
      </c>
      <c r="C223" s="134">
        <v>43773</v>
      </c>
      <c r="D223" s="120"/>
      <c r="E223" s="123">
        <v>447</v>
      </c>
      <c r="F223" s="133"/>
      <c r="G223" s="127"/>
      <c r="H223" s="106"/>
      <c r="I223" s="136"/>
      <c r="J223" s="140">
        <f t="shared" si="15"/>
        <v>5171947</v>
      </c>
      <c r="K223" s="149" t="str">
        <f t="shared" si="12"/>
        <v>OK</v>
      </c>
      <c r="L223" s="151" t="str">
        <f t="shared" si="13"/>
        <v>November</v>
      </c>
      <c r="M223" s="152">
        <f t="shared" si="14"/>
        <v>2019</v>
      </c>
    </row>
    <row r="224" spans="2:13" x14ac:dyDescent="0.25">
      <c r="B224" s="144" t="s">
        <v>812</v>
      </c>
      <c r="C224" s="134">
        <v>43774</v>
      </c>
      <c r="D224" s="120"/>
      <c r="E224" s="123">
        <v>448</v>
      </c>
      <c r="F224" s="133"/>
      <c r="G224" s="127"/>
      <c r="H224" s="106"/>
      <c r="I224" s="136"/>
      <c r="J224" s="140">
        <f t="shared" si="15"/>
        <v>5171947</v>
      </c>
      <c r="K224" s="149" t="str">
        <f t="shared" si="12"/>
        <v>OK</v>
      </c>
      <c r="L224" s="151" t="str">
        <f t="shared" si="13"/>
        <v>November</v>
      </c>
      <c r="M224" s="152">
        <f t="shared" si="14"/>
        <v>2019</v>
      </c>
    </row>
    <row r="225" spans="2:13" x14ac:dyDescent="0.25">
      <c r="B225" s="144" t="s">
        <v>813</v>
      </c>
      <c r="C225" s="134">
        <v>43775</v>
      </c>
      <c r="D225" s="120"/>
      <c r="E225" s="123">
        <v>449</v>
      </c>
      <c r="F225" s="133"/>
      <c r="G225" s="127"/>
      <c r="H225" s="106"/>
      <c r="I225" s="136"/>
      <c r="J225" s="140">
        <f t="shared" si="15"/>
        <v>5171947</v>
      </c>
      <c r="K225" s="149" t="str">
        <f t="shared" si="12"/>
        <v>OK</v>
      </c>
      <c r="L225" s="151" t="str">
        <f t="shared" si="13"/>
        <v>November</v>
      </c>
      <c r="M225" s="152">
        <f t="shared" si="14"/>
        <v>2019</v>
      </c>
    </row>
    <row r="226" spans="2:13" x14ac:dyDescent="0.25">
      <c r="B226" s="144" t="s">
        <v>814</v>
      </c>
      <c r="C226" s="134">
        <v>43776</v>
      </c>
      <c r="D226" s="120"/>
      <c r="E226" s="123">
        <v>450</v>
      </c>
      <c r="F226" s="133"/>
      <c r="G226" s="127"/>
      <c r="H226" s="106"/>
      <c r="I226" s="136"/>
      <c r="J226" s="140">
        <f t="shared" si="15"/>
        <v>5171947</v>
      </c>
      <c r="K226" s="149" t="str">
        <f t="shared" si="12"/>
        <v>OK</v>
      </c>
      <c r="L226" s="151" t="str">
        <f t="shared" si="13"/>
        <v>November</v>
      </c>
      <c r="M226" s="152">
        <f t="shared" si="14"/>
        <v>2019</v>
      </c>
    </row>
    <row r="227" spans="2:13" x14ac:dyDescent="0.25">
      <c r="B227" s="144" t="s">
        <v>815</v>
      </c>
      <c r="C227" s="134">
        <v>43777</v>
      </c>
      <c r="D227" s="120"/>
      <c r="E227" s="123">
        <v>451</v>
      </c>
      <c r="F227" s="133"/>
      <c r="G227" s="127"/>
      <c r="H227" s="106"/>
      <c r="I227" s="136"/>
      <c r="J227" s="140">
        <f t="shared" si="15"/>
        <v>5171947</v>
      </c>
      <c r="K227" s="149" t="str">
        <f t="shared" si="12"/>
        <v>OK</v>
      </c>
      <c r="L227" s="151" t="str">
        <f t="shared" si="13"/>
        <v>November</v>
      </c>
      <c r="M227" s="152">
        <f t="shared" si="14"/>
        <v>2019</v>
      </c>
    </row>
    <row r="228" spans="2:13" x14ac:dyDescent="0.25">
      <c r="B228" s="144" t="s">
        <v>816</v>
      </c>
      <c r="C228" s="134">
        <v>43778</v>
      </c>
      <c r="D228" s="120"/>
      <c r="E228" s="123">
        <v>452</v>
      </c>
      <c r="F228" s="133"/>
      <c r="G228" s="127"/>
      <c r="H228" s="106"/>
      <c r="I228" s="136"/>
      <c r="J228" s="140">
        <f t="shared" si="15"/>
        <v>5171947</v>
      </c>
      <c r="K228" s="149" t="str">
        <f t="shared" si="12"/>
        <v>OK</v>
      </c>
      <c r="L228" s="151" t="str">
        <f t="shared" si="13"/>
        <v>November</v>
      </c>
      <c r="M228" s="152">
        <f t="shared" si="14"/>
        <v>2019</v>
      </c>
    </row>
    <row r="229" spans="2:13" x14ac:dyDescent="0.25">
      <c r="B229" s="144" t="s">
        <v>817</v>
      </c>
      <c r="C229" s="134">
        <v>43779</v>
      </c>
      <c r="D229" s="120"/>
      <c r="E229" s="123">
        <v>453</v>
      </c>
      <c r="F229" s="133"/>
      <c r="G229" s="127"/>
      <c r="H229" s="106"/>
      <c r="I229" s="136"/>
      <c r="J229" s="140">
        <f t="shared" si="15"/>
        <v>5171947</v>
      </c>
      <c r="K229" s="149" t="str">
        <f t="shared" si="12"/>
        <v>OK</v>
      </c>
      <c r="L229" s="151" t="str">
        <f t="shared" si="13"/>
        <v>November</v>
      </c>
      <c r="M229" s="152">
        <f t="shared" si="14"/>
        <v>2019</v>
      </c>
    </row>
    <row r="230" spans="2:13" x14ac:dyDescent="0.25">
      <c r="B230" s="144" t="s">
        <v>818</v>
      </c>
      <c r="C230" s="134">
        <v>43780</v>
      </c>
      <c r="D230" s="120"/>
      <c r="E230" s="123">
        <v>454</v>
      </c>
      <c r="F230" s="133"/>
      <c r="G230" s="127"/>
      <c r="H230" s="106"/>
      <c r="I230" s="136"/>
      <c r="J230" s="140">
        <f t="shared" si="15"/>
        <v>5171947</v>
      </c>
      <c r="K230" s="149" t="str">
        <f t="shared" si="12"/>
        <v>OK</v>
      </c>
      <c r="L230" s="151" t="str">
        <f t="shared" si="13"/>
        <v>November</v>
      </c>
      <c r="M230" s="152">
        <f t="shared" si="14"/>
        <v>2019</v>
      </c>
    </row>
    <row r="231" spans="2:13" x14ac:dyDescent="0.25">
      <c r="B231" s="144" t="s">
        <v>819</v>
      </c>
      <c r="C231" s="134">
        <v>43781</v>
      </c>
      <c r="D231" s="120"/>
      <c r="E231" s="123">
        <v>455</v>
      </c>
      <c r="F231" s="133"/>
      <c r="G231" s="127"/>
      <c r="H231" s="106"/>
      <c r="I231" s="136"/>
      <c r="J231" s="140">
        <f t="shared" si="15"/>
        <v>5171947</v>
      </c>
      <c r="K231" s="149" t="str">
        <f t="shared" si="12"/>
        <v>OK</v>
      </c>
      <c r="L231" s="151" t="str">
        <f t="shared" si="13"/>
        <v>November</v>
      </c>
      <c r="M231" s="152">
        <f t="shared" si="14"/>
        <v>2019</v>
      </c>
    </row>
    <row r="232" spans="2:13" x14ac:dyDescent="0.25">
      <c r="B232" s="144" t="s">
        <v>820</v>
      </c>
      <c r="C232" s="134">
        <v>43782</v>
      </c>
      <c r="D232" s="120"/>
      <c r="E232" s="123">
        <v>456</v>
      </c>
      <c r="F232" s="133"/>
      <c r="G232" s="127"/>
      <c r="H232" s="106"/>
      <c r="I232" s="136"/>
      <c r="J232" s="140">
        <f t="shared" si="15"/>
        <v>5171947</v>
      </c>
      <c r="K232" s="149" t="str">
        <f t="shared" si="12"/>
        <v>OK</v>
      </c>
      <c r="L232" s="151" t="str">
        <f t="shared" si="13"/>
        <v>November</v>
      </c>
      <c r="M232" s="152">
        <f t="shared" si="14"/>
        <v>2019</v>
      </c>
    </row>
    <row r="233" spans="2:13" x14ac:dyDescent="0.25">
      <c r="B233" s="144" t="s">
        <v>821</v>
      </c>
      <c r="C233" s="134">
        <v>43783</v>
      </c>
      <c r="D233" s="120"/>
      <c r="E233" s="123">
        <v>457</v>
      </c>
      <c r="F233" s="133"/>
      <c r="G233" s="127"/>
      <c r="H233" s="106"/>
      <c r="I233" s="136"/>
      <c r="J233" s="140">
        <f t="shared" si="15"/>
        <v>5171947</v>
      </c>
      <c r="K233" s="149" t="str">
        <f t="shared" si="12"/>
        <v>OK</v>
      </c>
      <c r="L233" s="151" t="str">
        <f t="shared" si="13"/>
        <v>November</v>
      </c>
      <c r="M233" s="152">
        <f t="shared" si="14"/>
        <v>2019</v>
      </c>
    </row>
    <row r="234" spans="2:13" x14ac:dyDescent="0.25">
      <c r="B234" s="144" t="s">
        <v>822</v>
      </c>
      <c r="C234" s="134">
        <v>43784</v>
      </c>
      <c r="D234" s="120"/>
      <c r="E234" s="123">
        <v>458</v>
      </c>
      <c r="F234" s="133"/>
      <c r="G234" s="127"/>
      <c r="H234" s="106"/>
      <c r="I234" s="136"/>
      <c r="J234" s="140">
        <f t="shared" si="15"/>
        <v>5171947</v>
      </c>
      <c r="K234" s="149" t="str">
        <f t="shared" si="12"/>
        <v>OK</v>
      </c>
      <c r="L234" s="151" t="str">
        <f t="shared" si="13"/>
        <v>November</v>
      </c>
      <c r="M234" s="152">
        <f t="shared" si="14"/>
        <v>2019</v>
      </c>
    </row>
    <row r="235" spans="2:13" x14ac:dyDescent="0.25">
      <c r="B235" s="144" t="s">
        <v>823</v>
      </c>
      <c r="C235" s="134">
        <v>43785</v>
      </c>
      <c r="D235" s="120"/>
      <c r="E235" s="123">
        <v>459</v>
      </c>
      <c r="F235" s="133"/>
      <c r="G235" s="127"/>
      <c r="H235" s="106"/>
      <c r="I235" s="136"/>
      <c r="J235" s="140">
        <f t="shared" si="15"/>
        <v>5171947</v>
      </c>
      <c r="K235" s="149" t="str">
        <f t="shared" si="12"/>
        <v>OK</v>
      </c>
      <c r="L235" s="151" t="str">
        <f t="shared" si="13"/>
        <v>November</v>
      </c>
      <c r="M235" s="152">
        <f t="shared" si="14"/>
        <v>2019</v>
      </c>
    </row>
    <row r="236" spans="2:13" x14ac:dyDescent="0.25">
      <c r="B236" s="144" t="s">
        <v>824</v>
      </c>
      <c r="C236" s="134">
        <v>43786</v>
      </c>
      <c r="D236" s="120"/>
      <c r="E236" s="123">
        <v>460</v>
      </c>
      <c r="F236" s="133"/>
      <c r="G236" s="127"/>
      <c r="H236" s="106"/>
      <c r="I236" s="136"/>
      <c r="J236" s="140">
        <f t="shared" si="15"/>
        <v>5171947</v>
      </c>
      <c r="K236" s="149" t="str">
        <f t="shared" si="12"/>
        <v>OK</v>
      </c>
      <c r="L236" s="151" t="str">
        <f t="shared" si="13"/>
        <v>November</v>
      </c>
      <c r="M236" s="152">
        <f t="shared" si="14"/>
        <v>2019</v>
      </c>
    </row>
    <row r="237" spans="2:13" x14ac:dyDescent="0.25">
      <c r="B237" s="144" t="s">
        <v>825</v>
      </c>
      <c r="C237" s="134">
        <v>43787</v>
      </c>
      <c r="D237" s="120"/>
      <c r="E237" s="123">
        <v>461</v>
      </c>
      <c r="F237" s="133"/>
      <c r="G237" s="127"/>
      <c r="H237" s="106"/>
      <c r="I237" s="136"/>
      <c r="J237" s="140">
        <f t="shared" si="15"/>
        <v>5171947</v>
      </c>
      <c r="K237" s="149" t="str">
        <f t="shared" si="12"/>
        <v>OK</v>
      </c>
      <c r="L237" s="151" t="str">
        <f t="shared" si="13"/>
        <v>November</v>
      </c>
      <c r="M237" s="152">
        <f t="shared" si="14"/>
        <v>2019</v>
      </c>
    </row>
    <row r="238" spans="2:13" x14ac:dyDescent="0.25">
      <c r="B238" s="144" t="s">
        <v>826</v>
      </c>
      <c r="C238" s="134">
        <v>43788</v>
      </c>
      <c r="D238" s="120"/>
      <c r="E238" s="123">
        <v>462</v>
      </c>
      <c r="F238" s="133"/>
      <c r="G238" s="127"/>
      <c r="H238" s="106"/>
      <c r="I238" s="136"/>
      <c r="J238" s="140">
        <f t="shared" si="15"/>
        <v>5171947</v>
      </c>
      <c r="K238" s="149" t="str">
        <f t="shared" si="12"/>
        <v>OK</v>
      </c>
      <c r="L238" s="151" t="str">
        <f t="shared" si="13"/>
        <v>November</v>
      </c>
      <c r="M238" s="152">
        <f t="shared" si="14"/>
        <v>2019</v>
      </c>
    </row>
    <row r="239" spans="2:13" x14ac:dyDescent="0.25">
      <c r="B239" s="144" t="s">
        <v>827</v>
      </c>
      <c r="C239" s="134">
        <v>43789</v>
      </c>
      <c r="D239" s="120"/>
      <c r="E239" s="123">
        <v>463</v>
      </c>
      <c r="F239" s="133"/>
      <c r="G239" s="127"/>
      <c r="H239" s="106"/>
      <c r="I239" s="136"/>
      <c r="J239" s="140">
        <f t="shared" si="15"/>
        <v>5171947</v>
      </c>
      <c r="K239" s="149" t="str">
        <f t="shared" si="12"/>
        <v>OK</v>
      </c>
      <c r="L239" s="151" t="str">
        <f t="shared" si="13"/>
        <v>November</v>
      </c>
      <c r="M239" s="152">
        <f t="shared" si="14"/>
        <v>2019</v>
      </c>
    </row>
    <row r="240" spans="2:13" x14ac:dyDescent="0.25">
      <c r="B240" s="144" t="s">
        <v>828</v>
      </c>
      <c r="C240" s="134">
        <v>43790</v>
      </c>
      <c r="D240" s="120"/>
      <c r="E240" s="123">
        <v>464</v>
      </c>
      <c r="F240" s="133"/>
      <c r="G240" s="127"/>
      <c r="H240" s="106"/>
      <c r="I240" s="136"/>
      <c r="J240" s="140">
        <f t="shared" si="15"/>
        <v>5171947</v>
      </c>
      <c r="K240" s="149" t="str">
        <f t="shared" si="12"/>
        <v>OK</v>
      </c>
      <c r="L240" s="151" t="str">
        <f t="shared" si="13"/>
        <v>November</v>
      </c>
      <c r="M240" s="152">
        <f t="shared" si="14"/>
        <v>2019</v>
      </c>
    </row>
    <row r="241" spans="2:13" x14ac:dyDescent="0.25">
      <c r="B241" s="144" t="s">
        <v>829</v>
      </c>
      <c r="C241" s="134">
        <v>43791</v>
      </c>
      <c r="D241" s="120"/>
      <c r="E241" s="123">
        <v>465</v>
      </c>
      <c r="F241" s="133"/>
      <c r="G241" s="127"/>
      <c r="H241" s="106"/>
      <c r="I241" s="136"/>
      <c r="J241" s="140">
        <f t="shared" si="15"/>
        <v>5171947</v>
      </c>
      <c r="K241" s="149" t="str">
        <f t="shared" si="12"/>
        <v>OK</v>
      </c>
      <c r="L241" s="151" t="str">
        <f t="shared" si="13"/>
        <v>November</v>
      </c>
      <c r="M241" s="152">
        <f t="shared" si="14"/>
        <v>2019</v>
      </c>
    </row>
    <row r="242" spans="2:13" x14ac:dyDescent="0.25">
      <c r="B242" s="144" t="s">
        <v>830</v>
      </c>
      <c r="C242" s="134">
        <v>43792</v>
      </c>
      <c r="D242" s="120"/>
      <c r="E242" s="123">
        <v>466</v>
      </c>
      <c r="F242" s="133"/>
      <c r="G242" s="127"/>
      <c r="H242" s="106"/>
      <c r="I242" s="136"/>
      <c r="J242" s="140">
        <f t="shared" si="15"/>
        <v>5171947</v>
      </c>
      <c r="K242" s="149" t="str">
        <f t="shared" si="12"/>
        <v>OK</v>
      </c>
      <c r="L242" s="151" t="str">
        <f t="shared" si="13"/>
        <v>November</v>
      </c>
      <c r="M242" s="152">
        <f t="shared" si="14"/>
        <v>2019</v>
      </c>
    </row>
    <row r="243" spans="2:13" x14ac:dyDescent="0.25">
      <c r="B243" s="144" t="s">
        <v>831</v>
      </c>
      <c r="C243" s="134">
        <v>43793</v>
      </c>
      <c r="D243" s="120"/>
      <c r="E243" s="123">
        <v>467</v>
      </c>
      <c r="F243" s="133"/>
      <c r="G243" s="127"/>
      <c r="H243" s="106"/>
      <c r="I243" s="136"/>
      <c r="J243" s="140">
        <f t="shared" si="15"/>
        <v>5171947</v>
      </c>
      <c r="K243" s="149" t="str">
        <f t="shared" si="12"/>
        <v>OK</v>
      </c>
      <c r="L243" s="151" t="str">
        <f t="shared" si="13"/>
        <v>November</v>
      </c>
      <c r="M243" s="152">
        <f t="shared" si="14"/>
        <v>2019</v>
      </c>
    </row>
    <row r="244" spans="2:13" x14ac:dyDescent="0.25">
      <c r="B244" s="144" t="s">
        <v>832</v>
      </c>
      <c r="C244" s="134">
        <v>43794</v>
      </c>
      <c r="D244" s="120"/>
      <c r="E244" s="123">
        <v>468</v>
      </c>
      <c r="F244" s="133"/>
      <c r="G244" s="127"/>
      <c r="H244" s="106"/>
      <c r="I244" s="136"/>
      <c r="J244" s="140">
        <f t="shared" si="15"/>
        <v>5171947</v>
      </c>
      <c r="K244" s="149" t="str">
        <f t="shared" si="12"/>
        <v>OK</v>
      </c>
      <c r="L244" s="151" t="str">
        <f t="shared" si="13"/>
        <v>November</v>
      </c>
      <c r="M244" s="152">
        <f t="shared" si="14"/>
        <v>2019</v>
      </c>
    </row>
    <row r="245" spans="2:13" x14ac:dyDescent="0.25">
      <c r="B245" s="144" t="s">
        <v>833</v>
      </c>
      <c r="C245" s="134">
        <v>43795</v>
      </c>
      <c r="D245" s="120"/>
      <c r="E245" s="123">
        <v>469</v>
      </c>
      <c r="F245" s="133"/>
      <c r="G245" s="127"/>
      <c r="H245" s="106"/>
      <c r="I245" s="136"/>
      <c r="J245" s="140">
        <f t="shared" si="15"/>
        <v>5171947</v>
      </c>
      <c r="K245" s="149" t="str">
        <f t="shared" si="12"/>
        <v>OK</v>
      </c>
      <c r="L245" s="151" t="str">
        <f t="shared" si="13"/>
        <v>November</v>
      </c>
      <c r="M245" s="152">
        <f t="shared" si="14"/>
        <v>2019</v>
      </c>
    </row>
    <row r="246" spans="2:13" x14ac:dyDescent="0.25">
      <c r="B246" s="144" t="s">
        <v>834</v>
      </c>
      <c r="C246" s="134">
        <v>43796</v>
      </c>
      <c r="D246" s="120"/>
      <c r="E246" s="123">
        <v>470</v>
      </c>
      <c r="F246" s="133"/>
      <c r="G246" s="127"/>
      <c r="H246" s="106"/>
      <c r="I246" s="136"/>
      <c r="J246" s="140">
        <f t="shared" si="15"/>
        <v>5171947</v>
      </c>
      <c r="K246" s="149" t="str">
        <f t="shared" si="12"/>
        <v>OK</v>
      </c>
      <c r="L246" s="151" t="str">
        <f t="shared" si="13"/>
        <v>November</v>
      </c>
      <c r="M246" s="152">
        <f t="shared" si="14"/>
        <v>2019</v>
      </c>
    </row>
    <row r="247" spans="2:13" x14ac:dyDescent="0.25">
      <c r="B247" s="144" t="s">
        <v>835</v>
      </c>
      <c r="C247" s="134">
        <v>43797</v>
      </c>
      <c r="D247" s="120"/>
      <c r="E247" s="123">
        <v>471</v>
      </c>
      <c r="F247" s="133"/>
      <c r="G247" s="127"/>
      <c r="H247" s="106"/>
      <c r="I247" s="136"/>
      <c r="J247" s="140">
        <f t="shared" si="15"/>
        <v>5171947</v>
      </c>
      <c r="K247" s="149" t="str">
        <f t="shared" si="12"/>
        <v>OK</v>
      </c>
      <c r="L247" s="151" t="str">
        <f t="shared" si="13"/>
        <v>November</v>
      </c>
      <c r="M247" s="152">
        <f t="shared" si="14"/>
        <v>2019</v>
      </c>
    </row>
    <row r="248" spans="2:13" x14ac:dyDescent="0.25">
      <c r="B248" s="144" t="s">
        <v>836</v>
      </c>
      <c r="C248" s="134">
        <v>43798</v>
      </c>
      <c r="D248" s="120"/>
      <c r="E248" s="123">
        <v>472</v>
      </c>
      <c r="F248" s="133"/>
      <c r="G248" s="127"/>
      <c r="H248" s="106"/>
      <c r="I248" s="136"/>
      <c r="J248" s="140">
        <f t="shared" si="15"/>
        <v>5171947</v>
      </c>
      <c r="K248" s="149" t="str">
        <f t="shared" si="12"/>
        <v>OK</v>
      </c>
      <c r="L248" s="151" t="str">
        <f t="shared" si="13"/>
        <v>November</v>
      </c>
      <c r="M248" s="152">
        <f t="shared" si="14"/>
        <v>2019</v>
      </c>
    </row>
    <row r="249" spans="2:13" x14ac:dyDescent="0.25">
      <c r="B249" s="144" t="s">
        <v>837</v>
      </c>
      <c r="C249" s="134">
        <v>43799</v>
      </c>
      <c r="D249" s="120"/>
      <c r="E249" s="123">
        <v>473</v>
      </c>
      <c r="F249" s="133"/>
      <c r="G249" s="127"/>
      <c r="H249" s="106"/>
      <c r="I249" s="136"/>
      <c r="J249" s="140">
        <f t="shared" si="15"/>
        <v>5171947</v>
      </c>
      <c r="K249" s="149" t="str">
        <f t="shared" si="12"/>
        <v>OK</v>
      </c>
      <c r="L249" s="151" t="str">
        <f t="shared" si="13"/>
        <v>November</v>
      </c>
      <c r="M249" s="152">
        <f t="shared" si="14"/>
        <v>2019</v>
      </c>
    </row>
    <row r="250" spans="2:13" x14ac:dyDescent="0.25">
      <c r="B250" s="144" t="s">
        <v>838</v>
      </c>
      <c r="C250" s="134">
        <v>43800</v>
      </c>
      <c r="D250" s="120"/>
      <c r="E250" s="123">
        <v>474</v>
      </c>
      <c r="F250" s="133"/>
      <c r="G250" s="127"/>
      <c r="H250" s="106"/>
      <c r="I250" s="136"/>
      <c r="J250" s="140">
        <f t="shared" si="15"/>
        <v>5171947</v>
      </c>
      <c r="K250" s="149" t="str">
        <f t="shared" si="12"/>
        <v>OK</v>
      </c>
      <c r="L250" s="151" t="str">
        <f t="shared" si="13"/>
        <v>December</v>
      </c>
      <c r="M250" s="152">
        <f t="shared" si="14"/>
        <v>2019</v>
      </c>
    </row>
    <row r="251" spans="2:13" x14ac:dyDescent="0.25">
      <c r="B251" s="144" t="s">
        <v>839</v>
      </c>
      <c r="C251" s="134">
        <v>43801</v>
      </c>
      <c r="D251" s="120"/>
      <c r="E251" s="123">
        <v>475</v>
      </c>
      <c r="F251" s="133"/>
      <c r="G251" s="127"/>
      <c r="H251" s="106"/>
      <c r="I251" s="136"/>
      <c r="J251" s="140">
        <f t="shared" si="15"/>
        <v>5171947</v>
      </c>
      <c r="K251" s="149" t="str">
        <f t="shared" si="12"/>
        <v>OK</v>
      </c>
      <c r="L251" s="151" t="str">
        <f t="shared" si="13"/>
        <v>December</v>
      </c>
      <c r="M251" s="152">
        <f t="shared" si="14"/>
        <v>2019</v>
      </c>
    </row>
    <row r="252" spans="2:13" x14ac:dyDescent="0.25">
      <c r="B252" s="144" t="s">
        <v>840</v>
      </c>
      <c r="C252" s="134">
        <v>43802</v>
      </c>
      <c r="D252" s="120"/>
      <c r="E252" s="123">
        <v>476</v>
      </c>
      <c r="F252" s="133"/>
      <c r="G252" s="127"/>
      <c r="H252" s="106"/>
      <c r="I252" s="136"/>
      <c r="J252" s="140">
        <f t="shared" si="15"/>
        <v>5171947</v>
      </c>
      <c r="K252" s="149" t="str">
        <f t="shared" si="12"/>
        <v>OK</v>
      </c>
      <c r="L252" s="151" t="str">
        <f t="shared" si="13"/>
        <v>December</v>
      </c>
      <c r="M252" s="152">
        <f t="shared" si="14"/>
        <v>2019</v>
      </c>
    </row>
    <row r="253" spans="2:13" x14ac:dyDescent="0.25">
      <c r="B253" s="144" t="s">
        <v>841</v>
      </c>
      <c r="C253" s="134">
        <v>43803</v>
      </c>
      <c r="D253" s="120"/>
      <c r="E253" s="123">
        <v>477</v>
      </c>
      <c r="F253" s="133"/>
      <c r="G253" s="127"/>
      <c r="H253" s="106"/>
      <c r="I253" s="136"/>
      <c r="J253" s="140">
        <f t="shared" si="15"/>
        <v>5171947</v>
      </c>
      <c r="K253" s="149" t="str">
        <f t="shared" si="12"/>
        <v>OK</v>
      </c>
      <c r="L253" s="151" t="str">
        <f t="shared" si="13"/>
        <v>December</v>
      </c>
      <c r="M253" s="152">
        <f t="shared" si="14"/>
        <v>2019</v>
      </c>
    </row>
    <row r="254" spans="2:13" x14ac:dyDescent="0.25">
      <c r="B254" s="144" t="s">
        <v>842</v>
      </c>
      <c r="C254" s="134">
        <v>43804</v>
      </c>
      <c r="D254" s="120"/>
      <c r="E254" s="123">
        <v>478</v>
      </c>
      <c r="F254" s="133"/>
      <c r="G254" s="127"/>
      <c r="H254" s="106"/>
      <c r="I254" s="136"/>
      <c r="J254" s="140">
        <f t="shared" si="15"/>
        <v>5171947</v>
      </c>
      <c r="K254" s="149" t="str">
        <f t="shared" si="12"/>
        <v>OK</v>
      </c>
      <c r="L254" s="151" t="str">
        <f t="shared" si="13"/>
        <v>December</v>
      </c>
      <c r="M254" s="152">
        <f t="shared" si="14"/>
        <v>2019</v>
      </c>
    </row>
    <row r="255" spans="2:13" x14ac:dyDescent="0.25">
      <c r="B255" s="144" t="s">
        <v>843</v>
      </c>
      <c r="C255" s="134">
        <v>43805</v>
      </c>
      <c r="D255" s="120"/>
      <c r="E255" s="123">
        <v>479</v>
      </c>
      <c r="F255" s="133"/>
      <c r="G255" s="127"/>
      <c r="H255" s="106"/>
      <c r="I255" s="136"/>
      <c r="J255" s="140">
        <f t="shared" si="15"/>
        <v>5171947</v>
      </c>
      <c r="K255" s="149" t="str">
        <f t="shared" si="12"/>
        <v>OK</v>
      </c>
      <c r="L255" s="151" t="str">
        <f t="shared" si="13"/>
        <v>December</v>
      </c>
      <c r="M255" s="152">
        <f t="shared" si="14"/>
        <v>2019</v>
      </c>
    </row>
    <row r="256" spans="2:13" x14ac:dyDescent="0.25">
      <c r="B256" s="144" t="s">
        <v>844</v>
      </c>
      <c r="C256" s="134">
        <v>43806</v>
      </c>
      <c r="D256" s="120"/>
      <c r="E256" s="123">
        <v>480</v>
      </c>
      <c r="F256" s="133"/>
      <c r="G256" s="127"/>
      <c r="H256" s="106"/>
      <c r="I256" s="136"/>
      <c r="J256" s="140">
        <f t="shared" si="15"/>
        <v>5171947</v>
      </c>
      <c r="K256" s="149" t="str">
        <f t="shared" si="12"/>
        <v>OK</v>
      </c>
      <c r="L256" s="151" t="str">
        <f t="shared" si="13"/>
        <v>December</v>
      </c>
      <c r="M256" s="152">
        <f t="shared" si="14"/>
        <v>2019</v>
      </c>
    </row>
    <row r="257" spans="2:13" x14ac:dyDescent="0.25">
      <c r="B257" s="144" t="s">
        <v>845</v>
      </c>
      <c r="C257" s="134">
        <v>43807</v>
      </c>
      <c r="D257" s="120"/>
      <c r="E257" s="123">
        <v>481</v>
      </c>
      <c r="F257" s="133"/>
      <c r="G257" s="127"/>
      <c r="H257" s="106"/>
      <c r="I257" s="136"/>
      <c r="J257" s="140">
        <f t="shared" si="15"/>
        <v>5171947</v>
      </c>
      <c r="K257" s="149" t="str">
        <f t="shared" si="12"/>
        <v>OK</v>
      </c>
      <c r="L257" s="151" t="str">
        <f t="shared" si="13"/>
        <v>December</v>
      </c>
      <c r="M257" s="152">
        <f t="shared" si="14"/>
        <v>2019</v>
      </c>
    </row>
    <row r="258" spans="2:13" x14ac:dyDescent="0.25">
      <c r="B258" s="144" t="s">
        <v>846</v>
      </c>
      <c r="C258" s="134">
        <v>43808</v>
      </c>
      <c r="D258" s="120"/>
      <c r="E258" s="123">
        <v>482</v>
      </c>
      <c r="F258" s="133"/>
      <c r="G258" s="127"/>
      <c r="H258" s="106"/>
      <c r="I258" s="136"/>
      <c r="J258" s="140">
        <f t="shared" si="15"/>
        <v>5171947</v>
      </c>
      <c r="K258" s="149" t="str">
        <f t="shared" si="12"/>
        <v>OK</v>
      </c>
      <c r="L258" s="151" t="str">
        <f t="shared" si="13"/>
        <v>December</v>
      </c>
      <c r="M258" s="152">
        <f t="shared" si="14"/>
        <v>2019</v>
      </c>
    </row>
    <row r="259" spans="2:13" x14ac:dyDescent="0.25">
      <c r="B259" s="144" t="s">
        <v>847</v>
      </c>
      <c r="C259" s="134">
        <v>43809</v>
      </c>
      <c r="D259" s="120"/>
      <c r="E259" s="123">
        <v>483</v>
      </c>
      <c r="F259" s="133"/>
      <c r="G259" s="127"/>
      <c r="H259" s="106"/>
      <c r="I259" s="136"/>
      <c r="J259" s="140">
        <f t="shared" si="15"/>
        <v>5171947</v>
      </c>
      <c r="K259" s="149" t="str">
        <f t="shared" si="12"/>
        <v>OK</v>
      </c>
      <c r="L259" s="151" t="str">
        <f t="shared" si="13"/>
        <v>December</v>
      </c>
      <c r="M259" s="152">
        <f t="shared" si="14"/>
        <v>2019</v>
      </c>
    </row>
    <row r="260" spans="2:13" x14ac:dyDescent="0.25">
      <c r="B260" s="144" t="s">
        <v>848</v>
      </c>
      <c r="C260" s="134">
        <v>43810</v>
      </c>
      <c r="D260" s="120"/>
      <c r="E260" s="123">
        <v>484</v>
      </c>
      <c r="F260" s="133"/>
      <c r="G260" s="127"/>
      <c r="H260" s="106"/>
      <c r="I260" s="136"/>
      <c r="J260" s="140">
        <f t="shared" si="15"/>
        <v>5171947</v>
      </c>
      <c r="K260" s="149" t="str">
        <f t="shared" si="12"/>
        <v>OK</v>
      </c>
      <c r="L260" s="151" t="str">
        <f t="shared" si="13"/>
        <v>December</v>
      </c>
      <c r="M260" s="152">
        <f t="shared" si="14"/>
        <v>2019</v>
      </c>
    </row>
    <row r="261" spans="2:13" x14ac:dyDescent="0.25">
      <c r="B261" s="144" t="s">
        <v>849</v>
      </c>
      <c r="C261" s="134">
        <v>43811</v>
      </c>
      <c r="D261" s="120"/>
      <c r="E261" s="123">
        <v>485</v>
      </c>
      <c r="F261" s="133"/>
      <c r="G261" s="127"/>
      <c r="H261" s="106"/>
      <c r="I261" s="136"/>
      <c r="J261" s="140">
        <f t="shared" si="15"/>
        <v>5171947</v>
      </c>
      <c r="K261" s="149" t="str">
        <f t="shared" si="12"/>
        <v>OK</v>
      </c>
      <c r="L261" s="151" t="str">
        <f t="shared" si="13"/>
        <v>December</v>
      </c>
      <c r="M261" s="152">
        <f t="shared" si="14"/>
        <v>2019</v>
      </c>
    </row>
    <row r="262" spans="2:13" x14ac:dyDescent="0.25">
      <c r="B262" s="144" t="s">
        <v>850</v>
      </c>
      <c r="C262" s="134">
        <v>43812</v>
      </c>
      <c r="D262" s="120"/>
      <c r="E262" s="123">
        <v>486</v>
      </c>
      <c r="F262" s="133"/>
      <c r="G262" s="127"/>
      <c r="H262" s="106"/>
      <c r="I262" s="136"/>
      <c r="J262" s="140">
        <f t="shared" si="15"/>
        <v>5171947</v>
      </c>
      <c r="K262" s="149" t="str">
        <f t="shared" si="12"/>
        <v>OK</v>
      </c>
      <c r="L262" s="151" t="str">
        <f t="shared" si="13"/>
        <v>December</v>
      </c>
      <c r="M262" s="152">
        <f t="shared" si="14"/>
        <v>2019</v>
      </c>
    </row>
    <row r="263" spans="2:13" x14ac:dyDescent="0.25">
      <c r="B263" s="144" t="s">
        <v>851</v>
      </c>
      <c r="C263" s="134">
        <v>43813</v>
      </c>
      <c r="D263" s="120"/>
      <c r="E263" s="123">
        <v>487</v>
      </c>
      <c r="F263" s="133"/>
      <c r="G263" s="127"/>
      <c r="H263" s="106"/>
      <c r="I263" s="136"/>
      <c r="J263" s="140">
        <f t="shared" si="15"/>
        <v>5171947</v>
      </c>
      <c r="K263" s="149" t="str">
        <f t="shared" si="12"/>
        <v>OK</v>
      </c>
      <c r="L263" s="151" t="str">
        <f t="shared" si="13"/>
        <v>December</v>
      </c>
      <c r="M263" s="152">
        <f t="shared" si="14"/>
        <v>2019</v>
      </c>
    </row>
    <row r="264" spans="2:13" x14ac:dyDescent="0.25">
      <c r="B264" s="144" t="s">
        <v>852</v>
      </c>
      <c r="C264" s="134">
        <v>43814</v>
      </c>
      <c r="D264" s="120"/>
      <c r="E264" s="123">
        <v>488</v>
      </c>
      <c r="F264" s="133"/>
      <c r="G264" s="127"/>
      <c r="H264" s="106"/>
      <c r="I264" s="136"/>
      <c r="J264" s="140">
        <f t="shared" si="15"/>
        <v>5171947</v>
      </c>
      <c r="K264" s="149" t="str">
        <f t="shared" si="12"/>
        <v>OK</v>
      </c>
      <c r="L264" s="151" t="str">
        <f t="shared" si="13"/>
        <v>December</v>
      </c>
      <c r="M264" s="152">
        <f t="shared" si="14"/>
        <v>2019</v>
      </c>
    </row>
    <row r="265" spans="2:13" x14ac:dyDescent="0.25">
      <c r="B265" s="144" t="s">
        <v>853</v>
      </c>
      <c r="C265" s="134">
        <v>43815</v>
      </c>
      <c r="D265" s="120"/>
      <c r="E265" s="123">
        <v>489</v>
      </c>
      <c r="F265" s="133"/>
      <c r="G265" s="127"/>
      <c r="H265" s="106"/>
      <c r="I265" s="136"/>
      <c r="J265" s="140">
        <f t="shared" si="15"/>
        <v>5171947</v>
      </c>
      <c r="K265" s="149" t="str">
        <f t="shared" si="12"/>
        <v>OK</v>
      </c>
      <c r="L265" s="151" t="str">
        <f t="shared" si="13"/>
        <v>December</v>
      </c>
      <c r="M265" s="152">
        <f t="shared" si="14"/>
        <v>2019</v>
      </c>
    </row>
    <row r="266" spans="2:13" x14ac:dyDescent="0.25">
      <c r="B266" s="144" t="s">
        <v>854</v>
      </c>
      <c r="C266" s="134">
        <v>43816</v>
      </c>
      <c r="D266" s="120"/>
      <c r="E266" s="123">
        <v>490</v>
      </c>
      <c r="F266" s="133"/>
      <c r="G266" s="127"/>
      <c r="H266" s="106"/>
      <c r="I266" s="136"/>
      <c r="J266" s="140">
        <f t="shared" si="15"/>
        <v>5171947</v>
      </c>
      <c r="K266" s="149" t="str">
        <f t="shared" si="12"/>
        <v>OK</v>
      </c>
      <c r="L266" s="151" t="str">
        <f t="shared" si="13"/>
        <v>December</v>
      </c>
      <c r="M266" s="152">
        <f t="shared" si="14"/>
        <v>2019</v>
      </c>
    </row>
    <row r="267" spans="2:13" x14ac:dyDescent="0.25">
      <c r="B267" s="144" t="s">
        <v>855</v>
      </c>
      <c r="C267" s="134">
        <v>43817</v>
      </c>
      <c r="D267" s="120"/>
      <c r="E267" s="123">
        <v>491</v>
      </c>
      <c r="F267" s="133"/>
      <c r="G267" s="127"/>
      <c r="H267" s="106"/>
      <c r="I267" s="136"/>
      <c r="J267" s="140">
        <f t="shared" si="15"/>
        <v>5171947</v>
      </c>
      <c r="K267" s="149" t="str">
        <f t="shared" ref="K267:K330" si="16">IF(AND(F267&lt;&gt;"",G267&lt;&gt;""),"ERROR","OK")</f>
        <v>OK</v>
      </c>
      <c r="L267" s="151" t="str">
        <f t="shared" ref="L267:L330" si="17">TEXT(C267,"mmmm")</f>
        <v>December</v>
      </c>
      <c r="M267" s="152">
        <f t="shared" ref="M267:M330" si="18">YEAR(C267)</f>
        <v>2019</v>
      </c>
    </row>
    <row r="268" spans="2:13" x14ac:dyDescent="0.25">
      <c r="B268" s="144" t="s">
        <v>856</v>
      </c>
      <c r="C268" s="134">
        <v>43818</v>
      </c>
      <c r="D268" s="120"/>
      <c r="E268" s="123">
        <v>492</v>
      </c>
      <c r="F268" s="133"/>
      <c r="G268" s="127"/>
      <c r="H268" s="106"/>
      <c r="I268" s="136"/>
      <c r="J268" s="140">
        <f t="shared" ref="J268:J331" si="19">($J267+$F268)-$G268</f>
        <v>5171947</v>
      </c>
      <c r="K268" s="149" t="str">
        <f t="shared" si="16"/>
        <v>OK</v>
      </c>
      <c r="L268" s="151" t="str">
        <f t="shared" si="17"/>
        <v>December</v>
      </c>
      <c r="M268" s="152">
        <f t="shared" si="18"/>
        <v>2019</v>
      </c>
    </row>
    <row r="269" spans="2:13" x14ac:dyDescent="0.25">
      <c r="B269" s="144" t="s">
        <v>857</v>
      </c>
      <c r="C269" s="134">
        <v>43819</v>
      </c>
      <c r="D269" s="120"/>
      <c r="E269" s="123">
        <v>493</v>
      </c>
      <c r="F269" s="133"/>
      <c r="G269" s="127"/>
      <c r="H269" s="106"/>
      <c r="I269" s="136"/>
      <c r="J269" s="140">
        <f t="shared" si="19"/>
        <v>5171947</v>
      </c>
      <c r="K269" s="149" t="str">
        <f t="shared" si="16"/>
        <v>OK</v>
      </c>
      <c r="L269" s="151" t="str">
        <f t="shared" si="17"/>
        <v>December</v>
      </c>
      <c r="M269" s="152">
        <f t="shared" si="18"/>
        <v>2019</v>
      </c>
    </row>
    <row r="270" spans="2:13" x14ac:dyDescent="0.25">
      <c r="B270" s="144" t="s">
        <v>858</v>
      </c>
      <c r="C270" s="134">
        <v>43820</v>
      </c>
      <c r="D270" s="120"/>
      <c r="E270" s="123">
        <v>494</v>
      </c>
      <c r="F270" s="133"/>
      <c r="G270" s="127"/>
      <c r="H270" s="106"/>
      <c r="I270" s="136"/>
      <c r="J270" s="140">
        <f t="shared" si="19"/>
        <v>5171947</v>
      </c>
      <c r="K270" s="149" t="str">
        <f t="shared" si="16"/>
        <v>OK</v>
      </c>
      <c r="L270" s="151" t="str">
        <f t="shared" si="17"/>
        <v>December</v>
      </c>
      <c r="M270" s="152">
        <f t="shared" si="18"/>
        <v>2019</v>
      </c>
    </row>
    <row r="271" spans="2:13" x14ac:dyDescent="0.25">
      <c r="B271" s="144" t="s">
        <v>859</v>
      </c>
      <c r="C271" s="134">
        <v>43821</v>
      </c>
      <c r="D271" s="120"/>
      <c r="E271" s="123">
        <v>495</v>
      </c>
      <c r="F271" s="133"/>
      <c r="G271" s="127"/>
      <c r="H271" s="106"/>
      <c r="I271" s="136"/>
      <c r="J271" s="140">
        <f t="shared" si="19"/>
        <v>5171947</v>
      </c>
      <c r="K271" s="149" t="str">
        <f t="shared" si="16"/>
        <v>OK</v>
      </c>
      <c r="L271" s="151" t="str">
        <f t="shared" si="17"/>
        <v>December</v>
      </c>
      <c r="M271" s="152">
        <f t="shared" si="18"/>
        <v>2019</v>
      </c>
    </row>
    <row r="272" spans="2:13" x14ac:dyDescent="0.25">
      <c r="B272" s="144" t="s">
        <v>860</v>
      </c>
      <c r="C272" s="134">
        <v>43822</v>
      </c>
      <c r="D272" s="120"/>
      <c r="E272" s="123">
        <v>496</v>
      </c>
      <c r="F272" s="133"/>
      <c r="G272" s="127"/>
      <c r="H272" s="106"/>
      <c r="I272" s="136"/>
      <c r="J272" s="140">
        <f t="shared" si="19"/>
        <v>5171947</v>
      </c>
      <c r="K272" s="149" t="str">
        <f t="shared" si="16"/>
        <v>OK</v>
      </c>
      <c r="L272" s="151" t="str">
        <f t="shared" si="17"/>
        <v>December</v>
      </c>
      <c r="M272" s="152">
        <f t="shared" si="18"/>
        <v>2019</v>
      </c>
    </row>
    <row r="273" spans="2:13" x14ac:dyDescent="0.25">
      <c r="B273" s="144" t="s">
        <v>861</v>
      </c>
      <c r="C273" s="134">
        <v>43823</v>
      </c>
      <c r="D273" s="120"/>
      <c r="E273" s="123">
        <v>497</v>
      </c>
      <c r="F273" s="133"/>
      <c r="G273" s="127"/>
      <c r="H273" s="106"/>
      <c r="I273" s="136"/>
      <c r="J273" s="140">
        <f t="shared" si="19"/>
        <v>5171947</v>
      </c>
      <c r="K273" s="149" t="str">
        <f t="shared" si="16"/>
        <v>OK</v>
      </c>
      <c r="L273" s="151" t="str">
        <f t="shared" si="17"/>
        <v>December</v>
      </c>
      <c r="M273" s="152">
        <f t="shared" si="18"/>
        <v>2019</v>
      </c>
    </row>
    <row r="274" spans="2:13" x14ac:dyDescent="0.25">
      <c r="B274" s="144" t="s">
        <v>862</v>
      </c>
      <c r="C274" s="134">
        <v>43824</v>
      </c>
      <c r="D274" s="120"/>
      <c r="E274" s="123">
        <v>498</v>
      </c>
      <c r="F274" s="133"/>
      <c r="G274" s="127"/>
      <c r="H274" s="106"/>
      <c r="I274" s="136"/>
      <c r="J274" s="140">
        <f t="shared" si="19"/>
        <v>5171947</v>
      </c>
      <c r="K274" s="149" t="str">
        <f t="shared" si="16"/>
        <v>OK</v>
      </c>
      <c r="L274" s="151" t="str">
        <f t="shared" si="17"/>
        <v>December</v>
      </c>
      <c r="M274" s="152">
        <f t="shared" si="18"/>
        <v>2019</v>
      </c>
    </row>
    <row r="275" spans="2:13" x14ac:dyDescent="0.25">
      <c r="B275" s="144" t="s">
        <v>863</v>
      </c>
      <c r="C275" s="134">
        <v>43825</v>
      </c>
      <c r="D275" s="120"/>
      <c r="E275" s="123">
        <v>499</v>
      </c>
      <c r="F275" s="133"/>
      <c r="G275" s="127"/>
      <c r="H275" s="106"/>
      <c r="I275" s="136"/>
      <c r="J275" s="140">
        <f t="shared" si="19"/>
        <v>5171947</v>
      </c>
      <c r="K275" s="149" t="str">
        <f t="shared" si="16"/>
        <v>OK</v>
      </c>
      <c r="L275" s="151" t="str">
        <f t="shared" si="17"/>
        <v>December</v>
      </c>
      <c r="M275" s="152">
        <f t="shared" si="18"/>
        <v>2019</v>
      </c>
    </row>
    <row r="276" spans="2:13" x14ac:dyDescent="0.25">
      <c r="B276" s="144" t="s">
        <v>864</v>
      </c>
      <c r="C276" s="134">
        <v>43826</v>
      </c>
      <c r="D276" s="120"/>
      <c r="E276" s="123">
        <v>500</v>
      </c>
      <c r="F276" s="133"/>
      <c r="G276" s="127"/>
      <c r="H276" s="106"/>
      <c r="I276" s="136"/>
      <c r="J276" s="140">
        <f t="shared" si="19"/>
        <v>5171947</v>
      </c>
      <c r="K276" s="149" t="str">
        <f t="shared" si="16"/>
        <v>OK</v>
      </c>
      <c r="L276" s="151" t="str">
        <f t="shared" si="17"/>
        <v>December</v>
      </c>
      <c r="M276" s="152">
        <f t="shared" si="18"/>
        <v>2019</v>
      </c>
    </row>
    <row r="277" spans="2:13" x14ac:dyDescent="0.25">
      <c r="B277" s="144" t="s">
        <v>865</v>
      </c>
      <c r="C277" s="134">
        <v>43827</v>
      </c>
      <c r="D277" s="120"/>
      <c r="E277" s="123">
        <v>501</v>
      </c>
      <c r="F277" s="133"/>
      <c r="G277" s="127"/>
      <c r="H277" s="106"/>
      <c r="I277" s="136"/>
      <c r="J277" s="140">
        <f t="shared" si="19"/>
        <v>5171947</v>
      </c>
      <c r="K277" s="149" t="str">
        <f t="shared" si="16"/>
        <v>OK</v>
      </c>
      <c r="L277" s="151" t="str">
        <f t="shared" si="17"/>
        <v>December</v>
      </c>
      <c r="M277" s="152">
        <f t="shared" si="18"/>
        <v>2019</v>
      </c>
    </row>
    <row r="278" spans="2:13" x14ac:dyDescent="0.25">
      <c r="B278" s="144" t="s">
        <v>866</v>
      </c>
      <c r="C278" s="134">
        <v>43828</v>
      </c>
      <c r="D278" s="120"/>
      <c r="E278" s="123">
        <v>502</v>
      </c>
      <c r="F278" s="133"/>
      <c r="G278" s="127"/>
      <c r="H278" s="106"/>
      <c r="I278" s="136"/>
      <c r="J278" s="140">
        <f t="shared" si="19"/>
        <v>5171947</v>
      </c>
      <c r="K278" s="149" t="str">
        <f t="shared" si="16"/>
        <v>OK</v>
      </c>
      <c r="L278" s="151" t="str">
        <f t="shared" si="17"/>
        <v>December</v>
      </c>
      <c r="M278" s="152">
        <f t="shared" si="18"/>
        <v>2019</v>
      </c>
    </row>
    <row r="279" spans="2:13" x14ac:dyDescent="0.25">
      <c r="B279" s="144" t="s">
        <v>867</v>
      </c>
      <c r="C279" s="134">
        <v>43829</v>
      </c>
      <c r="D279" s="120"/>
      <c r="E279" s="123">
        <v>503</v>
      </c>
      <c r="F279" s="133"/>
      <c r="G279" s="127"/>
      <c r="H279" s="106"/>
      <c r="I279" s="136"/>
      <c r="J279" s="140">
        <f t="shared" si="19"/>
        <v>5171947</v>
      </c>
      <c r="K279" s="149" t="str">
        <f t="shared" si="16"/>
        <v>OK</v>
      </c>
      <c r="L279" s="151" t="str">
        <f t="shared" si="17"/>
        <v>December</v>
      </c>
      <c r="M279" s="152">
        <f t="shared" si="18"/>
        <v>2019</v>
      </c>
    </row>
    <row r="280" spans="2:13" x14ac:dyDescent="0.25">
      <c r="B280" s="144" t="s">
        <v>868</v>
      </c>
      <c r="C280" s="134">
        <v>43830</v>
      </c>
      <c r="D280" s="120"/>
      <c r="E280" s="123">
        <v>504</v>
      </c>
      <c r="F280" s="133"/>
      <c r="G280" s="127"/>
      <c r="H280" s="106"/>
      <c r="I280" s="136"/>
      <c r="J280" s="140">
        <f t="shared" si="19"/>
        <v>5171947</v>
      </c>
      <c r="K280" s="149" t="str">
        <f t="shared" si="16"/>
        <v>OK</v>
      </c>
      <c r="L280" s="151" t="str">
        <f t="shared" si="17"/>
        <v>December</v>
      </c>
      <c r="M280" s="152">
        <f t="shared" si="18"/>
        <v>2019</v>
      </c>
    </row>
    <row r="281" spans="2:13" x14ac:dyDescent="0.25">
      <c r="B281" s="144" t="s">
        <v>869</v>
      </c>
      <c r="C281" s="134">
        <v>43831</v>
      </c>
      <c r="D281" s="120"/>
      <c r="E281" s="123">
        <v>505</v>
      </c>
      <c r="F281" s="133"/>
      <c r="G281" s="127"/>
      <c r="H281" s="106"/>
      <c r="I281" s="136"/>
      <c r="J281" s="140">
        <f t="shared" si="19"/>
        <v>5171947</v>
      </c>
      <c r="K281" s="149" t="str">
        <f t="shared" si="16"/>
        <v>OK</v>
      </c>
      <c r="L281" s="151" t="str">
        <f t="shared" si="17"/>
        <v>January</v>
      </c>
      <c r="M281" s="152">
        <f t="shared" si="18"/>
        <v>2020</v>
      </c>
    </row>
    <row r="282" spans="2:13" x14ac:dyDescent="0.25">
      <c r="B282" s="144" t="s">
        <v>870</v>
      </c>
      <c r="C282" s="134">
        <v>43832</v>
      </c>
      <c r="D282" s="120"/>
      <c r="E282" s="123">
        <v>506</v>
      </c>
      <c r="F282" s="133"/>
      <c r="G282" s="127"/>
      <c r="H282" s="106"/>
      <c r="I282" s="136"/>
      <c r="J282" s="140">
        <f t="shared" si="19"/>
        <v>5171947</v>
      </c>
      <c r="K282" s="149" t="str">
        <f t="shared" si="16"/>
        <v>OK</v>
      </c>
      <c r="L282" s="151" t="str">
        <f t="shared" si="17"/>
        <v>January</v>
      </c>
      <c r="M282" s="152">
        <f t="shared" si="18"/>
        <v>2020</v>
      </c>
    </row>
    <row r="283" spans="2:13" x14ac:dyDescent="0.25">
      <c r="B283" s="144" t="s">
        <v>871</v>
      </c>
      <c r="C283" s="134">
        <v>43833</v>
      </c>
      <c r="D283" s="120"/>
      <c r="E283" s="123">
        <v>507</v>
      </c>
      <c r="F283" s="133"/>
      <c r="G283" s="127"/>
      <c r="H283" s="106"/>
      <c r="I283" s="136"/>
      <c r="J283" s="140">
        <f t="shared" si="19"/>
        <v>5171947</v>
      </c>
      <c r="K283" s="149" t="str">
        <f t="shared" si="16"/>
        <v>OK</v>
      </c>
      <c r="L283" s="151" t="str">
        <f t="shared" si="17"/>
        <v>January</v>
      </c>
      <c r="M283" s="152">
        <f t="shared" si="18"/>
        <v>2020</v>
      </c>
    </row>
    <row r="284" spans="2:13" x14ac:dyDescent="0.25">
      <c r="B284" s="144" t="s">
        <v>872</v>
      </c>
      <c r="C284" s="134">
        <v>43834</v>
      </c>
      <c r="D284" s="120"/>
      <c r="E284" s="123">
        <v>508</v>
      </c>
      <c r="F284" s="133"/>
      <c r="G284" s="127"/>
      <c r="H284" s="106"/>
      <c r="I284" s="136"/>
      <c r="J284" s="140">
        <f t="shared" si="19"/>
        <v>5171947</v>
      </c>
      <c r="K284" s="149" t="str">
        <f t="shared" si="16"/>
        <v>OK</v>
      </c>
      <c r="L284" s="151" t="str">
        <f t="shared" si="17"/>
        <v>January</v>
      </c>
      <c r="M284" s="152">
        <f t="shared" si="18"/>
        <v>2020</v>
      </c>
    </row>
    <row r="285" spans="2:13" x14ac:dyDescent="0.25">
      <c r="B285" s="144" t="s">
        <v>873</v>
      </c>
      <c r="C285" s="134">
        <v>43835</v>
      </c>
      <c r="D285" s="120"/>
      <c r="E285" s="123">
        <v>509</v>
      </c>
      <c r="F285" s="133"/>
      <c r="G285" s="127"/>
      <c r="H285" s="106"/>
      <c r="I285" s="136"/>
      <c r="J285" s="140">
        <f t="shared" si="19"/>
        <v>5171947</v>
      </c>
      <c r="K285" s="149" t="str">
        <f t="shared" si="16"/>
        <v>OK</v>
      </c>
      <c r="L285" s="151" t="str">
        <f t="shared" si="17"/>
        <v>January</v>
      </c>
      <c r="M285" s="152">
        <f t="shared" si="18"/>
        <v>2020</v>
      </c>
    </row>
    <row r="286" spans="2:13" x14ac:dyDescent="0.25">
      <c r="B286" s="144" t="s">
        <v>874</v>
      </c>
      <c r="C286" s="134">
        <v>43836</v>
      </c>
      <c r="D286" s="120"/>
      <c r="E286" s="123">
        <v>510</v>
      </c>
      <c r="F286" s="133"/>
      <c r="G286" s="127"/>
      <c r="H286" s="106"/>
      <c r="I286" s="136"/>
      <c r="J286" s="140">
        <f t="shared" si="19"/>
        <v>5171947</v>
      </c>
      <c r="K286" s="149" t="str">
        <f t="shared" si="16"/>
        <v>OK</v>
      </c>
      <c r="L286" s="151" t="str">
        <f t="shared" si="17"/>
        <v>January</v>
      </c>
      <c r="M286" s="152">
        <f t="shared" si="18"/>
        <v>2020</v>
      </c>
    </row>
    <row r="287" spans="2:13" x14ac:dyDescent="0.25">
      <c r="B287" s="144" t="s">
        <v>875</v>
      </c>
      <c r="C287" s="134">
        <v>43837</v>
      </c>
      <c r="D287" s="120"/>
      <c r="E287" s="123">
        <v>511</v>
      </c>
      <c r="F287" s="133"/>
      <c r="G287" s="127"/>
      <c r="H287" s="106"/>
      <c r="I287" s="136"/>
      <c r="J287" s="140">
        <f t="shared" si="19"/>
        <v>5171947</v>
      </c>
      <c r="K287" s="149" t="str">
        <f t="shared" si="16"/>
        <v>OK</v>
      </c>
      <c r="L287" s="151" t="str">
        <f t="shared" si="17"/>
        <v>January</v>
      </c>
      <c r="M287" s="152">
        <f t="shared" si="18"/>
        <v>2020</v>
      </c>
    </row>
    <row r="288" spans="2:13" x14ac:dyDescent="0.25">
      <c r="B288" s="144" t="s">
        <v>876</v>
      </c>
      <c r="C288" s="134">
        <v>43838</v>
      </c>
      <c r="D288" s="120"/>
      <c r="E288" s="123">
        <v>512</v>
      </c>
      <c r="F288" s="133"/>
      <c r="G288" s="127"/>
      <c r="H288" s="106"/>
      <c r="I288" s="136"/>
      <c r="J288" s="140">
        <f t="shared" si="19"/>
        <v>5171947</v>
      </c>
      <c r="K288" s="149" t="str">
        <f t="shared" si="16"/>
        <v>OK</v>
      </c>
      <c r="L288" s="151" t="str">
        <f t="shared" si="17"/>
        <v>January</v>
      </c>
      <c r="M288" s="152">
        <f t="shared" si="18"/>
        <v>2020</v>
      </c>
    </row>
    <row r="289" spans="2:13" x14ac:dyDescent="0.25">
      <c r="B289" s="144" t="s">
        <v>877</v>
      </c>
      <c r="C289" s="134">
        <v>43839</v>
      </c>
      <c r="D289" s="120"/>
      <c r="E289" s="123">
        <v>513</v>
      </c>
      <c r="F289" s="133"/>
      <c r="G289" s="127"/>
      <c r="H289" s="106"/>
      <c r="I289" s="136"/>
      <c r="J289" s="140">
        <f t="shared" si="19"/>
        <v>5171947</v>
      </c>
      <c r="K289" s="149" t="str">
        <f t="shared" si="16"/>
        <v>OK</v>
      </c>
      <c r="L289" s="151" t="str">
        <f t="shared" si="17"/>
        <v>January</v>
      </c>
      <c r="M289" s="152">
        <f t="shared" si="18"/>
        <v>2020</v>
      </c>
    </row>
    <row r="290" spans="2:13" x14ac:dyDescent="0.25">
      <c r="B290" s="144" t="s">
        <v>878</v>
      </c>
      <c r="C290" s="134">
        <v>43840</v>
      </c>
      <c r="D290" s="120"/>
      <c r="E290" s="123">
        <v>514</v>
      </c>
      <c r="F290" s="133"/>
      <c r="G290" s="127"/>
      <c r="H290" s="106"/>
      <c r="I290" s="136"/>
      <c r="J290" s="140">
        <f t="shared" si="19"/>
        <v>5171947</v>
      </c>
      <c r="K290" s="149" t="str">
        <f t="shared" si="16"/>
        <v>OK</v>
      </c>
      <c r="L290" s="151" t="str">
        <f t="shared" si="17"/>
        <v>January</v>
      </c>
      <c r="M290" s="152">
        <f t="shared" si="18"/>
        <v>2020</v>
      </c>
    </row>
    <row r="291" spans="2:13" x14ac:dyDescent="0.25">
      <c r="B291" s="144" t="s">
        <v>879</v>
      </c>
      <c r="C291" s="134">
        <v>43841</v>
      </c>
      <c r="D291" s="120"/>
      <c r="E291" s="123">
        <v>515</v>
      </c>
      <c r="F291" s="133"/>
      <c r="G291" s="127"/>
      <c r="H291" s="106"/>
      <c r="I291" s="136"/>
      <c r="J291" s="140">
        <f t="shared" si="19"/>
        <v>5171947</v>
      </c>
      <c r="K291" s="149" t="str">
        <f t="shared" si="16"/>
        <v>OK</v>
      </c>
      <c r="L291" s="151" t="str">
        <f t="shared" si="17"/>
        <v>January</v>
      </c>
      <c r="M291" s="152">
        <f t="shared" si="18"/>
        <v>2020</v>
      </c>
    </row>
    <row r="292" spans="2:13" x14ac:dyDescent="0.25">
      <c r="B292" s="144" t="s">
        <v>880</v>
      </c>
      <c r="C292" s="134">
        <v>43842</v>
      </c>
      <c r="D292" s="120"/>
      <c r="E292" s="123">
        <v>516</v>
      </c>
      <c r="F292" s="133"/>
      <c r="G292" s="127"/>
      <c r="H292" s="106"/>
      <c r="I292" s="136"/>
      <c r="J292" s="140">
        <f t="shared" si="19"/>
        <v>5171947</v>
      </c>
      <c r="K292" s="149" t="str">
        <f t="shared" si="16"/>
        <v>OK</v>
      </c>
      <c r="L292" s="151" t="str">
        <f t="shared" si="17"/>
        <v>January</v>
      </c>
      <c r="M292" s="152">
        <f t="shared" si="18"/>
        <v>2020</v>
      </c>
    </row>
    <row r="293" spans="2:13" x14ac:dyDescent="0.25">
      <c r="B293" s="144" t="s">
        <v>881</v>
      </c>
      <c r="C293" s="134">
        <v>43843</v>
      </c>
      <c r="D293" s="120"/>
      <c r="E293" s="123">
        <v>517</v>
      </c>
      <c r="F293" s="133"/>
      <c r="G293" s="127"/>
      <c r="H293" s="106"/>
      <c r="I293" s="136"/>
      <c r="J293" s="140">
        <f t="shared" si="19"/>
        <v>5171947</v>
      </c>
      <c r="K293" s="149" t="str">
        <f t="shared" si="16"/>
        <v>OK</v>
      </c>
      <c r="L293" s="151" t="str">
        <f t="shared" si="17"/>
        <v>January</v>
      </c>
      <c r="M293" s="152">
        <f t="shared" si="18"/>
        <v>2020</v>
      </c>
    </row>
    <row r="294" spans="2:13" x14ac:dyDescent="0.25">
      <c r="B294" s="144" t="s">
        <v>882</v>
      </c>
      <c r="C294" s="134">
        <v>43844</v>
      </c>
      <c r="D294" s="120"/>
      <c r="E294" s="123">
        <v>518</v>
      </c>
      <c r="F294" s="133"/>
      <c r="G294" s="127"/>
      <c r="H294" s="106"/>
      <c r="I294" s="136"/>
      <c r="J294" s="140">
        <f t="shared" si="19"/>
        <v>5171947</v>
      </c>
      <c r="K294" s="149" t="str">
        <f t="shared" si="16"/>
        <v>OK</v>
      </c>
      <c r="L294" s="151" t="str">
        <f t="shared" si="17"/>
        <v>January</v>
      </c>
      <c r="M294" s="152">
        <f t="shared" si="18"/>
        <v>2020</v>
      </c>
    </row>
    <row r="295" spans="2:13" x14ac:dyDescent="0.25">
      <c r="B295" s="144" t="s">
        <v>883</v>
      </c>
      <c r="C295" s="134">
        <v>43845</v>
      </c>
      <c r="D295" s="120"/>
      <c r="E295" s="123">
        <v>519</v>
      </c>
      <c r="F295" s="133"/>
      <c r="G295" s="127"/>
      <c r="H295" s="106"/>
      <c r="I295" s="136"/>
      <c r="J295" s="140">
        <f t="shared" si="19"/>
        <v>5171947</v>
      </c>
      <c r="K295" s="149" t="str">
        <f t="shared" si="16"/>
        <v>OK</v>
      </c>
      <c r="L295" s="151" t="str">
        <f t="shared" si="17"/>
        <v>January</v>
      </c>
      <c r="M295" s="152">
        <f t="shared" si="18"/>
        <v>2020</v>
      </c>
    </row>
    <row r="296" spans="2:13" x14ac:dyDescent="0.25">
      <c r="B296" s="144" t="s">
        <v>884</v>
      </c>
      <c r="C296" s="134">
        <v>43846</v>
      </c>
      <c r="D296" s="120"/>
      <c r="E296" s="123">
        <v>520</v>
      </c>
      <c r="F296" s="133"/>
      <c r="G296" s="127"/>
      <c r="H296" s="106"/>
      <c r="I296" s="136"/>
      <c r="J296" s="140">
        <f t="shared" si="19"/>
        <v>5171947</v>
      </c>
      <c r="K296" s="149" t="str">
        <f t="shared" si="16"/>
        <v>OK</v>
      </c>
      <c r="L296" s="151" t="str">
        <f t="shared" si="17"/>
        <v>January</v>
      </c>
      <c r="M296" s="152">
        <f t="shared" si="18"/>
        <v>2020</v>
      </c>
    </row>
    <row r="297" spans="2:13" x14ac:dyDescent="0.25">
      <c r="B297" s="144" t="s">
        <v>885</v>
      </c>
      <c r="C297" s="134">
        <v>43847</v>
      </c>
      <c r="D297" s="120"/>
      <c r="E297" s="123">
        <v>521</v>
      </c>
      <c r="F297" s="133"/>
      <c r="G297" s="127"/>
      <c r="H297" s="106"/>
      <c r="I297" s="136"/>
      <c r="J297" s="140">
        <f t="shared" si="19"/>
        <v>5171947</v>
      </c>
      <c r="K297" s="149" t="str">
        <f t="shared" si="16"/>
        <v>OK</v>
      </c>
      <c r="L297" s="151" t="str">
        <f t="shared" si="17"/>
        <v>January</v>
      </c>
      <c r="M297" s="152">
        <f t="shared" si="18"/>
        <v>2020</v>
      </c>
    </row>
    <row r="298" spans="2:13" x14ac:dyDescent="0.25">
      <c r="B298" s="144" t="s">
        <v>886</v>
      </c>
      <c r="C298" s="134">
        <v>43848</v>
      </c>
      <c r="D298" s="120"/>
      <c r="E298" s="123">
        <v>522</v>
      </c>
      <c r="F298" s="133"/>
      <c r="G298" s="127"/>
      <c r="H298" s="106"/>
      <c r="I298" s="136"/>
      <c r="J298" s="140">
        <f t="shared" si="19"/>
        <v>5171947</v>
      </c>
      <c r="K298" s="149" t="str">
        <f t="shared" si="16"/>
        <v>OK</v>
      </c>
      <c r="L298" s="151" t="str">
        <f t="shared" si="17"/>
        <v>January</v>
      </c>
      <c r="M298" s="152">
        <f t="shared" si="18"/>
        <v>2020</v>
      </c>
    </row>
    <row r="299" spans="2:13" x14ac:dyDescent="0.25">
      <c r="B299" s="144" t="s">
        <v>887</v>
      </c>
      <c r="C299" s="134">
        <v>43849</v>
      </c>
      <c r="D299" s="120"/>
      <c r="E299" s="123">
        <v>523</v>
      </c>
      <c r="F299" s="133"/>
      <c r="G299" s="127"/>
      <c r="H299" s="106"/>
      <c r="I299" s="136"/>
      <c r="J299" s="140">
        <f t="shared" si="19"/>
        <v>5171947</v>
      </c>
      <c r="K299" s="149" t="str">
        <f t="shared" si="16"/>
        <v>OK</v>
      </c>
      <c r="L299" s="151" t="str">
        <f t="shared" si="17"/>
        <v>January</v>
      </c>
      <c r="M299" s="152">
        <f t="shared" si="18"/>
        <v>2020</v>
      </c>
    </row>
    <row r="300" spans="2:13" x14ac:dyDescent="0.25">
      <c r="B300" s="144" t="s">
        <v>888</v>
      </c>
      <c r="C300" s="134">
        <v>43850</v>
      </c>
      <c r="D300" s="120"/>
      <c r="E300" s="123">
        <v>524</v>
      </c>
      <c r="F300" s="133"/>
      <c r="G300" s="127"/>
      <c r="H300" s="106"/>
      <c r="I300" s="136"/>
      <c r="J300" s="140">
        <f t="shared" si="19"/>
        <v>5171947</v>
      </c>
      <c r="K300" s="149" t="str">
        <f t="shared" si="16"/>
        <v>OK</v>
      </c>
      <c r="L300" s="151" t="str">
        <f t="shared" si="17"/>
        <v>January</v>
      </c>
      <c r="M300" s="152">
        <f t="shared" si="18"/>
        <v>2020</v>
      </c>
    </row>
    <row r="301" spans="2:13" x14ac:dyDescent="0.25">
      <c r="B301" s="144" t="s">
        <v>889</v>
      </c>
      <c r="C301" s="134">
        <v>43851</v>
      </c>
      <c r="D301" s="120"/>
      <c r="E301" s="123">
        <v>525</v>
      </c>
      <c r="F301" s="133"/>
      <c r="G301" s="127"/>
      <c r="H301" s="106"/>
      <c r="I301" s="136"/>
      <c r="J301" s="140">
        <f t="shared" si="19"/>
        <v>5171947</v>
      </c>
      <c r="K301" s="149" t="str">
        <f t="shared" si="16"/>
        <v>OK</v>
      </c>
      <c r="L301" s="151" t="str">
        <f t="shared" si="17"/>
        <v>January</v>
      </c>
      <c r="M301" s="152">
        <f t="shared" si="18"/>
        <v>2020</v>
      </c>
    </row>
    <row r="302" spans="2:13" x14ac:dyDescent="0.25">
      <c r="B302" s="144" t="s">
        <v>890</v>
      </c>
      <c r="C302" s="134">
        <v>43852</v>
      </c>
      <c r="D302" s="120"/>
      <c r="E302" s="123">
        <v>526</v>
      </c>
      <c r="F302" s="133"/>
      <c r="G302" s="127"/>
      <c r="H302" s="106"/>
      <c r="I302" s="136"/>
      <c r="J302" s="140">
        <f t="shared" si="19"/>
        <v>5171947</v>
      </c>
      <c r="K302" s="149" t="str">
        <f t="shared" si="16"/>
        <v>OK</v>
      </c>
      <c r="L302" s="151" t="str">
        <f t="shared" si="17"/>
        <v>January</v>
      </c>
      <c r="M302" s="152">
        <f t="shared" si="18"/>
        <v>2020</v>
      </c>
    </row>
    <row r="303" spans="2:13" x14ac:dyDescent="0.25">
      <c r="B303" s="144" t="s">
        <v>891</v>
      </c>
      <c r="C303" s="134">
        <v>43853</v>
      </c>
      <c r="D303" s="120"/>
      <c r="E303" s="123">
        <v>527</v>
      </c>
      <c r="F303" s="133"/>
      <c r="G303" s="127"/>
      <c r="H303" s="106"/>
      <c r="I303" s="136"/>
      <c r="J303" s="140">
        <f t="shared" si="19"/>
        <v>5171947</v>
      </c>
      <c r="K303" s="149" t="str">
        <f t="shared" si="16"/>
        <v>OK</v>
      </c>
      <c r="L303" s="151" t="str">
        <f t="shared" si="17"/>
        <v>January</v>
      </c>
      <c r="M303" s="152">
        <f t="shared" si="18"/>
        <v>2020</v>
      </c>
    </row>
    <row r="304" spans="2:13" x14ac:dyDescent="0.25">
      <c r="B304" s="144" t="s">
        <v>892</v>
      </c>
      <c r="C304" s="134">
        <v>43854</v>
      </c>
      <c r="D304" s="120"/>
      <c r="E304" s="123">
        <v>528</v>
      </c>
      <c r="F304" s="133"/>
      <c r="G304" s="127"/>
      <c r="H304" s="106"/>
      <c r="I304" s="136"/>
      <c r="J304" s="140">
        <f t="shared" si="19"/>
        <v>5171947</v>
      </c>
      <c r="K304" s="149" t="str">
        <f t="shared" si="16"/>
        <v>OK</v>
      </c>
      <c r="L304" s="151" t="str">
        <f t="shared" si="17"/>
        <v>January</v>
      </c>
      <c r="M304" s="152">
        <f t="shared" si="18"/>
        <v>2020</v>
      </c>
    </row>
    <row r="305" spans="2:13" x14ac:dyDescent="0.25">
      <c r="B305" s="144" t="s">
        <v>893</v>
      </c>
      <c r="C305" s="134">
        <v>43855</v>
      </c>
      <c r="D305" s="120"/>
      <c r="E305" s="123">
        <v>529</v>
      </c>
      <c r="F305" s="133"/>
      <c r="G305" s="127"/>
      <c r="H305" s="106"/>
      <c r="I305" s="136"/>
      <c r="J305" s="140">
        <f t="shared" si="19"/>
        <v>5171947</v>
      </c>
      <c r="K305" s="149" t="str">
        <f t="shared" si="16"/>
        <v>OK</v>
      </c>
      <c r="L305" s="151" t="str">
        <f t="shared" si="17"/>
        <v>January</v>
      </c>
      <c r="M305" s="152">
        <f t="shared" si="18"/>
        <v>2020</v>
      </c>
    </row>
    <row r="306" spans="2:13" x14ac:dyDescent="0.25">
      <c r="B306" s="144" t="s">
        <v>894</v>
      </c>
      <c r="C306" s="134">
        <v>43856</v>
      </c>
      <c r="D306" s="120"/>
      <c r="E306" s="123">
        <v>530</v>
      </c>
      <c r="F306" s="133"/>
      <c r="G306" s="127"/>
      <c r="H306" s="106"/>
      <c r="I306" s="136"/>
      <c r="J306" s="140">
        <f t="shared" si="19"/>
        <v>5171947</v>
      </c>
      <c r="K306" s="149" t="str">
        <f t="shared" si="16"/>
        <v>OK</v>
      </c>
      <c r="L306" s="151" t="str">
        <f t="shared" si="17"/>
        <v>January</v>
      </c>
      <c r="M306" s="152">
        <f t="shared" si="18"/>
        <v>2020</v>
      </c>
    </row>
    <row r="307" spans="2:13" x14ac:dyDescent="0.25">
      <c r="B307" s="144" t="s">
        <v>895</v>
      </c>
      <c r="C307" s="134">
        <v>43857</v>
      </c>
      <c r="D307" s="120"/>
      <c r="E307" s="123">
        <v>531</v>
      </c>
      <c r="F307" s="133"/>
      <c r="G307" s="127"/>
      <c r="H307" s="106"/>
      <c r="I307" s="136"/>
      <c r="J307" s="140">
        <f t="shared" si="19"/>
        <v>5171947</v>
      </c>
      <c r="K307" s="149" t="str">
        <f t="shared" si="16"/>
        <v>OK</v>
      </c>
      <c r="L307" s="151" t="str">
        <f t="shared" si="17"/>
        <v>January</v>
      </c>
      <c r="M307" s="152">
        <f t="shared" si="18"/>
        <v>2020</v>
      </c>
    </row>
    <row r="308" spans="2:13" x14ac:dyDescent="0.25">
      <c r="B308" s="144" t="s">
        <v>896</v>
      </c>
      <c r="C308" s="134">
        <v>43858</v>
      </c>
      <c r="D308" s="120"/>
      <c r="E308" s="123">
        <v>532</v>
      </c>
      <c r="F308" s="133"/>
      <c r="G308" s="127"/>
      <c r="H308" s="106"/>
      <c r="I308" s="136"/>
      <c r="J308" s="140">
        <f t="shared" si="19"/>
        <v>5171947</v>
      </c>
      <c r="K308" s="149" t="str">
        <f t="shared" si="16"/>
        <v>OK</v>
      </c>
      <c r="L308" s="151" t="str">
        <f t="shared" si="17"/>
        <v>January</v>
      </c>
      <c r="M308" s="152">
        <f t="shared" si="18"/>
        <v>2020</v>
      </c>
    </row>
    <row r="309" spans="2:13" x14ac:dyDescent="0.25">
      <c r="B309" s="144" t="s">
        <v>897</v>
      </c>
      <c r="C309" s="134">
        <v>43859</v>
      </c>
      <c r="D309" s="120"/>
      <c r="E309" s="123">
        <v>533</v>
      </c>
      <c r="F309" s="133"/>
      <c r="G309" s="127"/>
      <c r="H309" s="106"/>
      <c r="I309" s="136"/>
      <c r="J309" s="140">
        <f t="shared" si="19"/>
        <v>5171947</v>
      </c>
      <c r="K309" s="149" t="str">
        <f t="shared" si="16"/>
        <v>OK</v>
      </c>
      <c r="L309" s="151" t="str">
        <f t="shared" si="17"/>
        <v>January</v>
      </c>
      <c r="M309" s="152">
        <f t="shared" si="18"/>
        <v>2020</v>
      </c>
    </row>
    <row r="310" spans="2:13" x14ac:dyDescent="0.25">
      <c r="B310" s="144" t="s">
        <v>898</v>
      </c>
      <c r="C310" s="134">
        <v>43860</v>
      </c>
      <c r="D310" s="120"/>
      <c r="E310" s="123">
        <v>534</v>
      </c>
      <c r="F310" s="133"/>
      <c r="G310" s="127"/>
      <c r="H310" s="106"/>
      <c r="I310" s="136"/>
      <c r="J310" s="140">
        <f t="shared" si="19"/>
        <v>5171947</v>
      </c>
      <c r="K310" s="149" t="str">
        <f t="shared" si="16"/>
        <v>OK</v>
      </c>
      <c r="L310" s="151" t="str">
        <f t="shared" si="17"/>
        <v>January</v>
      </c>
      <c r="M310" s="152">
        <f t="shared" si="18"/>
        <v>2020</v>
      </c>
    </row>
    <row r="311" spans="2:13" x14ac:dyDescent="0.25">
      <c r="B311" s="144" t="s">
        <v>899</v>
      </c>
      <c r="C311" s="134">
        <v>43861</v>
      </c>
      <c r="D311" s="120"/>
      <c r="E311" s="123">
        <v>535</v>
      </c>
      <c r="F311" s="133"/>
      <c r="G311" s="127"/>
      <c r="H311" s="106"/>
      <c r="I311" s="136"/>
      <c r="J311" s="140">
        <f t="shared" si="19"/>
        <v>5171947</v>
      </c>
      <c r="K311" s="149" t="str">
        <f t="shared" si="16"/>
        <v>OK</v>
      </c>
      <c r="L311" s="151" t="str">
        <f t="shared" si="17"/>
        <v>January</v>
      </c>
      <c r="M311" s="152">
        <f t="shared" si="18"/>
        <v>2020</v>
      </c>
    </row>
    <row r="312" spans="2:13" x14ac:dyDescent="0.25">
      <c r="B312" s="144" t="s">
        <v>900</v>
      </c>
      <c r="C312" s="134">
        <v>43862</v>
      </c>
      <c r="D312" s="120"/>
      <c r="E312" s="123">
        <v>536</v>
      </c>
      <c r="F312" s="133"/>
      <c r="G312" s="127"/>
      <c r="H312" s="106"/>
      <c r="I312" s="136"/>
      <c r="J312" s="140">
        <f t="shared" si="19"/>
        <v>5171947</v>
      </c>
      <c r="K312" s="149" t="str">
        <f t="shared" si="16"/>
        <v>OK</v>
      </c>
      <c r="L312" s="151" t="str">
        <f t="shared" si="17"/>
        <v>February</v>
      </c>
      <c r="M312" s="152">
        <f t="shared" si="18"/>
        <v>2020</v>
      </c>
    </row>
    <row r="313" spans="2:13" x14ac:dyDescent="0.25">
      <c r="B313" s="144" t="s">
        <v>901</v>
      </c>
      <c r="C313" s="134">
        <v>43863</v>
      </c>
      <c r="D313" s="120"/>
      <c r="E313" s="123">
        <v>537</v>
      </c>
      <c r="F313" s="133"/>
      <c r="G313" s="127"/>
      <c r="H313" s="106"/>
      <c r="I313" s="136"/>
      <c r="J313" s="140">
        <f t="shared" si="19"/>
        <v>5171947</v>
      </c>
      <c r="K313" s="149" t="str">
        <f t="shared" si="16"/>
        <v>OK</v>
      </c>
      <c r="L313" s="151" t="str">
        <f t="shared" si="17"/>
        <v>February</v>
      </c>
      <c r="M313" s="152">
        <f t="shared" si="18"/>
        <v>2020</v>
      </c>
    </row>
    <row r="314" spans="2:13" x14ac:dyDescent="0.25">
      <c r="B314" s="144" t="s">
        <v>902</v>
      </c>
      <c r="C314" s="134">
        <v>43864</v>
      </c>
      <c r="D314" s="120"/>
      <c r="E314" s="123">
        <v>538</v>
      </c>
      <c r="F314" s="133"/>
      <c r="G314" s="127"/>
      <c r="H314" s="106"/>
      <c r="I314" s="136"/>
      <c r="J314" s="140">
        <f t="shared" si="19"/>
        <v>5171947</v>
      </c>
      <c r="K314" s="149" t="str">
        <f t="shared" si="16"/>
        <v>OK</v>
      </c>
      <c r="L314" s="151" t="str">
        <f t="shared" si="17"/>
        <v>February</v>
      </c>
      <c r="M314" s="152">
        <f t="shared" si="18"/>
        <v>2020</v>
      </c>
    </row>
    <row r="315" spans="2:13" x14ac:dyDescent="0.25">
      <c r="B315" s="144" t="s">
        <v>903</v>
      </c>
      <c r="C315" s="134">
        <v>43865</v>
      </c>
      <c r="D315" s="120"/>
      <c r="E315" s="123">
        <v>539</v>
      </c>
      <c r="F315" s="133"/>
      <c r="G315" s="127"/>
      <c r="H315" s="106"/>
      <c r="I315" s="136"/>
      <c r="J315" s="140">
        <f t="shared" si="19"/>
        <v>5171947</v>
      </c>
      <c r="K315" s="149" t="str">
        <f t="shared" si="16"/>
        <v>OK</v>
      </c>
      <c r="L315" s="151" t="str">
        <f t="shared" si="17"/>
        <v>February</v>
      </c>
      <c r="M315" s="152">
        <f t="shared" si="18"/>
        <v>2020</v>
      </c>
    </row>
    <row r="316" spans="2:13" x14ac:dyDescent="0.25">
      <c r="B316" s="144" t="s">
        <v>904</v>
      </c>
      <c r="C316" s="134">
        <v>43866</v>
      </c>
      <c r="D316" s="120"/>
      <c r="E316" s="123">
        <v>540</v>
      </c>
      <c r="F316" s="133"/>
      <c r="G316" s="127"/>
      <c r="H316" s="106"/>
      <c r="I316" s="136"/>
      <c r="J316" s="140">
        <f t="shared" si="19"/>
        <v>5171947</v>
      </c>
      <c r="K316" s="149" t="str">
        <f t="shared" si="16"/>
        <v>OK</v>
      </c>
      <c r="L316" s="151" t="str">
        <f t="shared" si="17"/>
        <v>February</v>
      </c>
      <c r="M316" s="152">
        <f t="shared" si="18"/>
        <v>2020</v>
      </c>
    </row>
    <row r="317" spans="2:13" x14ac:dyDescent="0.25">
      <c r="B317" s="144" t="s">
        <v>905</v>
      </c>
      <c r="C317" s="134">
        <v>43867</v>
      </c>
      <c r="D317" s="120"/>
      <c r="E317" s="123">
        <v>541</v>
      </c>
      <c r="F317" s="133"/>
      <c r="G317" s="127"/>
      <c r="H317" s="106"/>
      <c r="I317" s="136"/>
      <c r="J317" s="140">
        <f t="shared" si="19"/>
        <v>5171947</v>
      </c>
      <c r="K317" s="149" t="str">
        <f t="shared" si="16"/>
        <v>OK</v>
      </c>
      <c r="L317" s="151" t="str">
        <f t="shared" si="17"/>
        <v>February</v>
      </c>
      <c r="M317" s="152">
        <f t="shared" si="18"/>
        <v>2020</v>
      </c>
    </row>
    <row r="318" spans="2:13" x14ac:dyDescent="0.25">
      <c r="B318" s="144" t="s">
        <v>906</v>
      </c>
      <c r="C318" s="134">
        <v>43868</v>
      </c>
      <c r="D318" s="120"/>
      <c r="E318" s="123">
        <v>542</v>
      </c>
      <c r="F318" s="133"/>
      <c r="G318" s="127"/>
      <c r="H318" s="106"/>
      <c r="I318" s="136"/>
      <c r="J318" s="140">
        <f t="shared" si="19"/>
        <v>5171947</v>
      </c>
      <c r="K318" s="149" t="str">
        <f t="shared" si="16"/>
        <v>OK</v>
      </c>
      <c r="L318" s="151" t="str">
        <f t="shared" si="17"/>
        <v>February</v>
      </c>
      <c r="M318" s="152">
        <f t="shared" si="18"/>
        <v>2020</v>
      </c>
    </row>
    <row r="319" spans="2:13" x14ac:dyDescent="0.25">
      <c r="B319" s="144" t="s">
        <v>907</v>
      </c>
      <c r="C319" s="134">
        <v>43869</v>
      </c>
      <c r="D319" s="120"/>
      <c r="E319" s="123">
        <v>543</v>
      </c>
      <c r="F319" s="133"/>
      <c r="G319" s="127"/>
      <c r="H319" s="106"/>
      <c r="I319" s="136"/>
      <c r="J319" s="140">
        <f t="shared" si="19"/>
        <v>5171947</v>
      </c>
      <c r="K319" s="149" t="str">
        <f t="shared" si="16"/>
        <v>OK</v>
      </c>
      <c r="L319" s="151" t="str">
        <f t="shared" si="17"/>
        <v>February</v>
      </c>
      <c r="M319" s="152">
        <f t="shared" si="18"/>
        <v>2020</v>
      </c>
    </row>
    <row r="320" spans="2:13" x14ac:dyDescent="0.25">
      <c r="B320" s="144" t="s">
        <v>908</v>
      </c>
      <c r="C320" s="134">
        <v>43870</v>
      </c>
      <c r="D320" s="120"/>
      <c r="E320" s="123">
        <v>544</v>
      </c>
      <c r="F320" s="133"/>
      <c r="G320" s="127"/>
      <c r="H320" s="106"/>
      <c r="I320" s="136"/>
      <c r="J320" s="140">
        <f t="shared" si="19"/>
        <v>5171947</v>
      </c>
      <c r="K320" s="149" t="str">
        <f t="shared" si="16"/>
        <v>OK</v>
      </c>
      <c r="L320" s="151" t="str">
        <f t="shared" si="17"/>
        <v>February</v>
      </c>
      <c r="M320" s="152">
        <f t="shared" si="18"/>
        <v>2020</v>
      </c>
    </row>
    <row r="321" spans="2:13" x14ac:dyDescent="0.25">
      <c r="B321" s="144" t="s">
        <v>909</v>
      </c>
      <c r="C321" s="134">
        <v>43871</v>
      </c>
      <c r="D321" s="120"/>
      <c r="E321" s="123">
        <v>545</v>
      </c>
      <c r="F321" s="133"/>
      <c r="G321" s="127"/>
      <c r="H321" s="106"/>
      <c r="I321" s="136"/>
      <c r="J321" s="140">
        <f t="shared" si="19"/>
        <v>5171947</v>
      </c>
      <c r="K321" s="149" t="str">
        <f t="shared" si="16"/>
        <v>OK</v>
      </c>
      <c r="L321" s="151" t="str">
        <f t="shared" si="17"/>
        <v>February</v>
      </c>
      <c r="M321" s="152">
        <f t="shared" si="18"/>
        <v>2020</v>
      </c>
    </row>
    <row r="322" spans="2:13" x14ac:dyDescent="0.25">
      <c r="B322" s="144" t="s">
        <v>910</v>
      </c>
      <c r="C322" s="134">
        <v>43872</v>
      </c>
      <c r="D322" s="120"/>
      <c r="E322" s="123">
        <v>546</v>
      </c>
      <c r="F322" s="133"/>
      <c r="G322" s="127"/>
      <c r="H322" s="106"/>
      <c r="I322" s="136"/>
      <c r="J322" s="140">
        <f t="shared" si="19"/>
        <v>5171947</v>
      </c>
      <c r="K322" s="149" t="str">
        <f t="shared" si="16"/>
        <v>OK</v>
      </c>
      <c r="L322" s="151" t="str">
        <f t="shared" si="17"/>
        <v>February</v>
      </c>
      <c r="M322" s="152">
        <f t="shared" si="18"/>
        <v>2020</v>
      </c>
    </row>
    <row r="323" spans="2:13" x14ac:dyDescent="0.25">
      <c r="B323" s="144" t="s">
        <v>911</v>
      </c>
      <c r="C323" s="134">
        <v>43873</v>
      </c>
      <c r="D323" s="120"/>
      <c r="E323" s="123">
        <v>547</v>
      </c>
      <c r="F323" s="133"/>
      <c r="G323" s="127"/>
      <c r="H323" s="106"/>
      <c r="I323" s="136"/>
      <c r="J323" s="140">
        <f t="shared" si="19"/>
        <v>5171947</v>
      </c>
      <c r="K323" s="149" t="str">
        <f t="shared" si="16"/>
        <v>OK</v>
      </c>
      <c r="L323" s="151" t="str">
        <f t="shared" si="17"/>
        <v>February</v>
      </c>
      <c r="M323" s="152">
        <f t="shared" si="18"/>
        <v>2020</v>
      </c>
    </row>
    <row r="324" spans="2:13" x14ac:dyDescent="0.25">
      <c r="B324" s="144" t="s">
        <v>912</v>
      </c>
      <c r="C324" s="134">
        <v>43874</v>
      </c>
      <c r="D324" s="120"/>
      <c r="E324" s="123">
        <v>548</v>
      </c>
      <c r="F324" s="133"/>
      <c r="G324" s="127"/>
      <c r="H324" s="106"/>
      <c r="I324" s="136"/>
      <c r="J324" s="140">
        <f t="shared" si="19"/>
        <v>5171947</v>
      </c>
      <c r="K324" s="149" t="str">
        <f t="shared" si="16"/>
        <v>OK</v>
      </c>
      <c r="L324" s="151" t="str">
        <f t="shared" si="17"/>
        <v>February</v>
      </c>
      <c r="M324" s="152">
        <f t="shared" si="18"/>
        <v>2020</v>
      </c>
    </row>
    <row r="325" spans="2:13" x14ac:dyDescent="0.25">
      <c r="B325" s="144" t="s">
        <v>913</v>
      </c>
      <c r="C325" s="134">
        <v>43875</v>
      </c>
      <c r="D325" s="120"/>
      <c r="E325" s="123">
        <v>549</v>
      </c>
      <c r="F325" s="133"/>
      <c r="G325" s="127"/>
      <c r="H325" s="106"/>
      <c r="I325" s="136"/>
      <c r="J325" s="140">
        <f t="shared" si="19"/>
        <v>5171947</v>
      </c>
      <c r="K325" s="149" t="str">
        <f t="shared" si="16"/>
        <v>OK</v>
      </c>
      <c r="L325" s="151" t="str">
        <f t="shared" si="17"/>
        <v>February</v>
      </c>
      <c r="M325" s="152">
        <f t="shared" si="18"/>
        <v>2020</v>
      </c>
    </row>
    <row r="326" spans="2:13" x14ac:dyDescent="0.25">
      <c r="B326" s="144" t="s">
        <v>914</v>
      </c>
      <c r="C326" s="134">
        <v>43876</v>
      </c>
      <c r="D326" s="120"/>
      <c r="E326" s="123">
        <v>550</v>
      </c>
      <c r="F326" s="133"/>
      <c r="G326" s="127"/>
      <c r="H326" s="106"/>
      <c r="I326" s="136"/>
      <c r="J326" s="140">
        <f t="shared" si="19"/>
        <v>5171947</v>
      </c>
      <c r="K326" s="149" t="str">
        <f t="shared" si="16"/>
        <v>OK</v>
      </c>
      <c r="L326" s="151" t="str">
        <f t="shared" si="17"/>
        <v>February</v>
      </c>
      <c r="M326" s="152">
        <f t="shared" si="18"/>
        <v>2020</v>
      </c>
    </row>
    <row r="327" spans="2:13" x14ac:dyDescent="0.25">
      <c r="B327" s="144" t="s">
        <v>915</v>
      </c>
      <c r="C327" s="134">
        <v>43877</v>
      </c>
      <c r="D327" s="120"/>
      <c r="E327" s="123">
        <v>551</v>
      </c>
      <c r="F327" s="133"/>
      <c r="G327" s="127"/>
      <c r="H327" s="106"/>
      <c r="I327" s="136"/>
      <c r="J327" s="140">
        <f t="shared" si="19"/>
        <v>5171947</v>
      </c>
      <c r="K327" s="149" t="str">
        <f t="shared" si="16"/>
        <v>OK</v>
      </c>
      <c r="L327" s="151" t="str">
        <f t="shared" si="17"/>
        <v>February</v>
      </c>
      <c r="M327" s="152">
        <f t="shared" si="18"/>
        <v>2020</v>
      </c>
    </row>
    <row r="328" spans="2:13" x14ac:dyDescent="0.25">
      <c r="B328" s="144" t="s">
        <v>916</v>
      </c>
      <c r="C328" s="134">
        <v>43878</v>
      </c>
      <c r="D328" s="120"/>
      <c r="E328" s="123">
        <v>552</v>
      </c>
      <c r="F328" s="133"/>
      <c r="G328" s="127"/>
      <c r="H328" s="106"/>
      <c r="I328" s="136"/>
      <c r="J328" s="140">
        <f t="shared" si="19"/>
        <v>5171947</v>
      </c>
      <c r="K328" s="149" t="str">
        <f t="shared" si="16"/>
        <v>OK</v>
      </c>
      <c r="L328" s="151" t="str">
        <f t="shared" si="17"/>
        <v>February</v>
      </c>
      <c r="M328" s="152">
        <f t="shared" si="18"/>
        <v>2020</v>
      </c>
    </row>
    <row r="329" spans="2:13" x14ac:dyDescent="0.25">
      <c r="B329" s="144" t="s">
        <v>917</v>
      </c>
      <c r="C329" s="134">
        <v>43879</v>
      </c>
      <c r="D329" s="120"/>
      <c r="E329" s="123">
        <v>553</v>
      </c>
      <c r="F329" s="133"/>
      <c r="G329" s="127"/>
      <c r="H329" s="106"/>
      <c r="I329" s="136"/>
      <c r="J329" s="140">
        <f t="shared" si="19"/>
        <v>5171947</v>
      </c>
      <c r="K329" s="149" t="str">
        <f t="shared" si="16"/>
        <v>OK</v>
      </c>
      <c r="L329" s="151" t="str">
        <f t="shared" si="17"/>
        <v>February</v>
      </c>
      <c r="M329" s="152">
        <f t="shared" si="18"/>
        <v>2020</v>
      </c>
    </row>
    <row r="330" spans="2:13" x14ac:dyDescent="0.25">
      <c r="B330" s="144" t="s">
        <v>918</v>
      </c>
      <c r="C330" s="134">
        <v>43880</v>
      </c>
      <c r="D330" s="120"/>
      <c r="E330" s="123">
        <v>554</v>
      </c>
      <c r="F330" s="133"/>
      <c r="G330" s="127"/>
      <c r="H330" s="106"/>
      <c r="I330" s="136"/>
      <c r="J330" s="140">
        <f t="shared" si="19"/>
        <v>5171947</v>
      </c>
      <c r="K330" s="149" t="str">
        <f t="shared" si="16"/>
        <v>OK</v>
      </c>
      <c r="L330" s="151" t="str">
        <f t="shared" si="17"/>
        <v>February</v>
      </c>
      <c r="M330" s="152">
        <f t="shared" si="18"/>
        <v>2020</v>
      </c>
    </row>
    <row r="331" spans="2:13" x14ac:dyDescent="0.25">
      <c r="B331" s="144" t="s">
        <v>919</v>
      </c>
      <c r="C331" s="134">
        <v>43881</v>
      </c>
      <c r="D331" s="120"/>
      <c r="E331" s="123">
        <v>555</v>
      </c>
      <c r="F331" s="133"/>
      <c r="G331" s="127"/>
      <c r="H331" s="106"/>
      <c r="I331" s="136"/>
      <c r="J331" s="140">
        <f t="shared" si="19"/>
        <v>5171947</v>
      </c>
      <c r="K331" s="149" t="str">
        <f t="shared" ref="K331:K394" si="20">IF(AND(F331&lt;&gt;"",G331&lt;&gt;""),"ERROR","OK")</f>
        <v>OK</v>
      </c>
      <c r="L331" s="151" t="str">
        <f t="shared" ref="L331:L394" si="21">TEXT(C331,"mmmm")</f>
        <v>February</v>
      </c>
      <c r="M331" s="152">
        <f t="shared" ref="M331:M394" si="22">YEAR(C331)</f>
        <v>2020</v>
      </c>
    </row>
    <row r="332" spans="2:13" x14ac:dyDescent="0.25">
      <c r="B332" s="144" t="s">
        <v>920</v>
      </c>
      <c r="C332" s="134">
        <v>43882</v>
      </c>
      <c r="D332" s="120"/>
      <c r="E332" s="123">
        <v>556</v>
      </c>
      <c r="F332" s="133"/>
      <c r="G332" s="127"/>
      <c r="H332" s="106"/>
      <c r="I332" s="136"/>
      <c r="J332" s="140">
        <f t="shared" ref="J332:J395" si="23">($J331+$F332)-$G332</f>
        <v>5171947</v>
      </c>
      <c r="K332" s="149" t="str">
        <f t="shared" si="20"/>
        <v>OK</v>
      </c>
      <c r="L332" s="151" t="str">
        <f t="shared" si="21"/>
        <v>February</v>
      </c>
      <c r="M332" s="152">
        <f t="shared" si="22"/>
        <v>2020</v>
      </c>
    </row>
    <row r="333" spans="2:13" x14ac:dyDescent="0.25">
      <c r="B333" s="144" t="s">
        <v>921</v>
      </c>
      <c r="C333" s="134">
        <v>43883</v>
      </c>
      <c r="D333" s="120"/>
      <c r="E333" s="123">
        <v>557</v>
      </c>
      <c r="F333" s="133"/>
      <c r="G333" s="127"/>
      <c r="H333" s="106"/>
      <c r="I333" s="136"/>
      <c r="J333" s="140">
        <f t="shared" si="23"/>
        <v>5171947</v>
      </c>
      <c r="K333" s="149" t="str">
        <f t="shared" si="20"/>
        <v>OK</v>
      </c>
      <c r="L333" s="151" t="str">
        <f t="shared" si="21"/>
        <v>February</v>
      </c>
      <c r="M333" s="152">
        <f t="shared" si="22"/>
        <v>2020</v>
      </c>
    </row>
    <row r="334" spans="2:13" x14ac:dyDescent="0.25">
      <c r="B334" s="144" t="s">
        <v>922</v>
      </c>
      <c r="C334" s="134">
        <v>43884</v>
      </c>
      <c r="D334" s="120"/>
      <c r="E334" s="123">
        <v>558</v>
      </c>
      <c r="F334" s="133"/>
      <c r="G334" s="127"/>
      <c r="H334" s="106"/>
      <c r="I334" s="136"/>
      <c r="J334" s="140">
        <f t="shared" si="23"/>
        <v>5171947</v>
      </c>
      <c r="K334" s="149" t="str">
        <f t="shared" si="20"/>
        <v>OK</v>
      </c>
      <c r="L334" s="151" t="str">
        <f t="shared" si="21"/>
        <v>February</v>
      </c>
      <c r="M334" s="152">
        <f t="shared" si="22"/>
        <v>2020</v>
      </c>
    </row>
    <row r="335" spans="2:13" x14ac:dyDescent="0.25">
      <c r="B335" s="144" t="s">
        <v>923</v>
      </c>
      <c r="C335" s="134">
        <v>43885</v>
      </c>
      <c r="D335" s="120"/>
      <c r="E335" s="123">
        <v>559</v>
      </c>
      <c r="F335" s="133"/>
      <c r="G335" s="127"/>
      <c r="H335" s="106"/>
      <c r="I335" s="136"/>
      <c r="J335" s="140">
        <f t="shared" si="23"/>
        <v>5171947</v>
      </c>
      <c r="K335" s="149" t="str">
        <f t="shared" si="20"/>
        <v>OK</v>
      </c>
      <c r="L335" s="151" t="str">
        <f t="shared" si="21"/>
        <v>February</v>
      </c>
      <c r="M335" s="152">
        <f t="shared" si="22"/>
        <v>2020</v>
      </c>
    </row>
    <row r="336" spans="2:13" x14ac:dyDescent="0.25">
      <c r="B336" s="144" t="s">
        <v>924</v>
      </c>
      <c r="C336" s="134">
        <v>43886</v>
      </c>
      <c r="D336" s="120"/>
      <c r="E336" s="123">
        <v>560</v>
      </c>
      <c r="F336" s="133"/>
      <c r="G336" s="127"/>
      <c r="H336" s="106"/>
      <c r="I336" s="136"/>
      <c r="J336" s="140">
        <f t="shared" si="23"/>
        <v>5171947</v>
      </c>
      <c r="K336" s="149" t="str">
        <f t="shared" si="20"/>
        <v>OK</v>
      </c>
      <c r="L336" s="151" t="str">
        <f t="shared" si="21"/>
        <v>February</v>
      </c>
      <c r="M336" s="152">
        <f t="shared" si="22"/>
        <v>2020</v>
      </c>
    </row>
    <row r="337" spans="2:13" x14ac:dyDescent="0.25">
      <c r="B337" s="144" t="s">
        <v>925</v>
      </c>
      <c r="C337" s="134">
        <v>43887</v>
      </c>
      <c r="D337" s="120"/>
      <c r="E337" s="123">
        <v>561</v>
      </c>
      <c r="F337" s="133"/>
      <c r="G337" s="127"/>
      <c r="H337" s="106"/>
      <c r="I337" s="136"/>
      <c r="J337" s="140">
        <f t="shared" si="23"/>
        <v>5171947</v>
      </c>
      <c r="K337" s="149" t="str">
        <f t="shared" si="20"/>
        <v>OK</v>
      </c>
      <c r="L337" s="151" t="str">
        <f t="shared" si="21"/>
        <v>February</v>
      </c>
      <c r="M337" s="152">
        <f t="shared" si="22"/>
        <v>2020</v>
      </c>
    </row>
    <row r="338" spans="2:13" x14ac:dyDescent="0.25">
      <c r="B338" s="144" t="s">
        <v>926</v>
      </c>
      <c r="C338" s="134">
        <v>43888</v>
      </c>
      <c r="D338" s="120"/>
      <c r="E338" s="123">
        <v>562</v>
      </c>
      <c r="F338" s="133"/>
      <c r="G338" s="127"/>
      <c r="H338" s="106"/>
      <c r="I338" s="136"/>
      <c r="J338" s="140">
        <f t="shared" si="23"/>
        <v>5171947</v>
      </c>
      <c r="K338" s="149" t="str">
        <f t="shared" si="20"/>
        <v>OK</v>
      </c>
      <c r="L338" s="151" t="str">
        <f t="shared" si="21"/>
        <v>February</v>
      </c>
      <c r="M338" s="152">
        <f t="shared" si="22"/>
        <v>2020</v>
      </c>
    </row>
    <row r="339" spans="2:13" x14ac:dyDescent="0.25">
      <c r="B339" s="144" t="s">
        <v>927</v>
      </c>
      <c r="C339" s="134">
        <v>43889</v>
      </c>
      <c r="D339" s="120"/>
      <c r="E339" s="123">
        <v>563</v>
      </c>
      <c r="F339" s="133"/>
      <c r="G339" s="127"/>
      <c r="H339" s="106"/>
      <c r="I339" s="136"/>
      <c r="J339" s="140">
        <f t="shared" si="23"/>
        <v>5171947</v>
      </c>
      <c r="K339" s="149" t="str">
        <f t="shared" si="20"/>
        <v>OK</v>
      </c>
      <c r="L339" s="151" t="str">
        <f t="shared" si="21"/>
        <v>February</v>
      </c>
      <c r="M339" s="152">
        <f t="shared" si="22"/>
        <v>2020</v>
      </c>
    </row>
    <row r="340" spans="2:13" x14ac:dyDescent="0.25">
      <c r="B340" s="144" t="s">
        <v>928</v>
      </c>
      <c r="C340" s="134">
        <v>43890</v>
      </c>
      <c r="D340" s="120"/>
      <c r="E340" s="123">
        <v>564</v>
      </c>
      <c r="F340" s="133"/>
      <c r="G340" s="127"/>
      <c r="H340" s="106"/>
      <c r="I340" s="136"/>
      <c r="J340" s="140">
        <f t="shared" si="23"/>
        <v>5171947</v>
      </c>
      <c r="K340" s="149" t="str">
        <f t="shared" si="20"/>
        <v>OK</v>
      </c>
      <c r="L340" s="151" t="str">
        <f t="shared" si="21"/>
        <v>February</v>
      </c>
      <c r="M340" s="152">
        <f t="shared" si="22"/>
        <v>2020</v>
      </c>
    </row>
    <row r="341" spans="2:13" x14ac:dyDescent="0.25">
      <c r="B341" s="144" t="s">
        <v>929</v>
      </c>
      <c r="C341" s="134">
        <v>43891</v>
      </c>
      <c r="D341" s="120"/>
      <c r="E341" s="123">
        <v>565</v>
      </c>
      <c r="F341" s="133"/>
      <c r="G341" s="127"/>
      <c r="H341" s="106"/>
      <c r="I341" s="136"/>
      <c r="J341" s="140">
        <f t="shared" si="23"/>
        <v>5171947</v>
      </c>
      <c r="K341" s="149" t="str">
        <f t="shared" si="20"/>
        <v>OK</v>
      </c>
      <c r="L341" s="151" t="str">
        <f t="shared" si="21"/>
        <v>March</v>
      </c>
      <c r="M341" s="152">
        <f t="shared" si="22"/>
        <v>2020</v>
      </c>
    </row>
    <row r="342" spans="2:13" x14ac:dyDescent="0.25">
      <c r="B342" s="144" t="s">
        <v>930</v>
      </c>
      <c r="C342" s="134">
        <v>43892</v>
      </c>
      <c r="D342" s="120"/>
      <c r="E342" s="123">
        <v>566</v>
      </c>
      <c r="F342" s="133"/>
      <c r="G342" s="127"/>
      <c r="H342" s="106"/>
      <c r="I342" s="136"/>
      <c r="J342" s="140">
        <f t="shared" si="23"/>
        <v>5171947</v>
      </c>
      <c r="K342" s="149" t="str">
        <f t="shared" si="20"/>
        <v>OK</v>
      </c>
      <c r="L342" s="151" t="str">
        <f t="shared" si="21"/>
        <v>March</v>
      </c>
      <c r="M342" s="152">
        <f t="shared" si="22"/>
        <v>2020</v>
      </c>
    </row>
    <row r="343" spans="2:13" x14ac:dyDescent="0.25">
      <c r="B343" s="144" t="s">
        <v>931</v>
      </c>
      <c r="C343" s="134">
        <v>43893</v>
      </c>
      <c r="D343" s="120"/>
      <c r="E343" s="123">
        <v>567</v>
      </c>
      <c r="F343" s="133"/>
      <c r="G343" s="127"/>
      <c r="H343" s="106"/>
      <c r="I343" s="136"/>
      <c r="J343" s="140">
        <f t="shared" si="23"/>
        <v>5171947</v>
      </c>
      <c r="K343" s="149" t="str">
        <f t="shared" si="20"/>
        <v>OK</v>
      </c>
      <c r="L343" s="151" t="str">
        <f t="shared" si="21"/>
        <v>March</v>
      </c>
      <c r="M343" s="152">
        <f t="shared" si="22"/>
        <v>2020</v>
      </c>
    </row>
    <row r="344" spans="2:13" x14ac:dyDescent="0.25">
      <c r="B344" s="144" t="s">
        <v>932</v>
      </c>
      <c r="C344" s="134">
        <v>43894</v>
      </c>
      <c r="D344" s="120"/>
      <c r="E344" s="123">
        <v>568</v>
      </c>
      <c r="F344" s="133"/>
      <c r="G344" s="127"/>
      <c r="H344" s="106"/>
      <c r="I344" s="136"/>
      <c r="J344" s="140">
        <f t="shared" si="23"/>
        <v>5171947</v>
      </c>
      <c r="K344" s="149" t="str">
        <f t="shared" si="20"/>
        <v>OK</v>
      </c>
      <c r="L344" s="151" t="str">
        <f t="shared" si="21"/>
        <v>March</v>
      </c>
      <c r="M344" s="152">
        <f t="shared" si="22"/>
        <v>2020</v>
      </c>
    </row>
    <row r="345" spans="2:13" x14ac:dyDescent="0.25">
      <c r="B345" s="144" t="s">
        <v>933</v>
      </c>
      <c r="C345" s="134">
        <v>43895</v>
      </c>
      <c r="D345" s="120"/>
      <c r="E345" s="123">
        <v>569</v>
      </c>
      <c r="F345" s="133"/>
      <c r="G345" s="127"/>
      <c r="H345" s="106"/>
      <c r="I345" s="136"/>
      <c r="J345" s="140">
        <f t="shared" si="23"/>
        <v>5171947</v>
      </c>
      <c r="K345" s="149" t="str">
        <f t="shared" si="20"/>
        <v>OK</v>
      </c>
      <c r="L345" s="151" t="str">
        <f t="shared" si="21"/>
        <v>March</v>
      </c>
      <c r="M345" s="152">
        <f t="shared" si="22"/>
        <v>2020</v>
      </c>
    </row>
    <row r="346" spans="2:13" x14ac:dyDescent="0.25">
      <c r="B346" s="144" t="s">
        <v>934</v>
      </c>
      <c r="C346" s="134">
        <v>43896</v>
      </c>
      <c r="D346" s="120"/>
      <c r="E346" s="123">
        <v>570</v>
      </c>
      <c r="F346" s="133"/>
      <c r="G346" s="127"/>
      <c r="H346" s="106"/>
      <c r="I346" s="136"/>
      <c r="J346" s="140">
        <f t="shared" si="23"/>
        <v>5171947</v>
      </c>
      <c r="K346" s="149" t="str">
        <f t="shared" si="20"/>
        <v>OK</v>
      </c>
      <c r="L346" s="151" t="str">
        <f t="shared" si="21"/>
        <v>March</v>
      </c>
      <c r="M346" s="152">
        <f t="shared" si="22"/>
        <v>2020</v>
      </c>
    </row>
    <row r="347" spans="2:13" x14ac:dyDescent="0.25">
      <c r="B347" s="144" t="s">
        <v>935</v>
      </c>
      <c r="C347" s="134">
        <v>43897</v>
      </c>
      <c r="D347" s="120"/>
      <c r="E347" s="123">
        <v>571</v>
      </c>
      <c r="F347" s="133"/>
      <c r="G347" s="127"/>
      <c r="H347" s="106"/>
      <c r="I347" s="136"/>
      <c r="J347" s="140">
        <f t="shared" si="23"/>
        <v>5171947</v>
      </c>
      <c r="K347" s="149" t="str">
        <f t="shared" si="20"/>
        <v>OK</v>
      </c>
      <c r="L347" s="151" t="str">
        <f t="shared" si="21"/>
        <v>March</v>
      </c>
      <c r="M347" s="152">
        <f t="shared" si="22"/>
        <v>2020</v>
      </c>
    </row>
    <row r="348" spans="2:13" x14ac:dyDescent="0.25">
      <c r="B348" s="144" t="s">
        <v>936</v>
      </c>
      <c r="C348" s="134">
        <v>43898</v>
      </c>
      <c r="D348" s="120"/>
      <c r="E348" s="123">
        <v>572</v>
      </c>
      <c r="F348" s="133"/>
      <c r="G348" s="127"/>
      <c r="H348" s="106"/>
      <c r="I348" s="136"/>
      <c r="J348" s="140">
        <f t="shared" si="23"/>
        <v>5171947</v>
      </c>
      <c r="K348" s="149" t="str">
        <f t="shared" si="20"/>
        <v>OK</v>
      </c>
      <c r="L348" s="151" t="str">
        <f t="shared" si="21"/>
        <v>March</v>
      </c>
      <c r="M348" s="152">
        <f t="shared" si="22"/>
        <v>2020</v>
      </c>
    </row>
    <row r="349" spans="2:13" x14ac:dyDescent="0.25">
      <c r="B349" s="144" t="s">
        <v>937</v>
      </c>
      <c r="C349" s="134">
        <v>43899</v>
      </c>
      <c r="D349" s="120"/>
      <c r="E349" s="123">
        <v>573</v>
      </c>
      <c r="F349" s="133"/>
      <c r="G349" s="127"/>
      <c r="H349" s="106"/>
      <c r="I349" s="136"/>
      <c r="J349" s="140">
        <f t="shared" si="23"/>
        <v>5171947</v>
      </c>
      <c r="K349" s="149" t="str">
        <f t="shared" si="20"/>
        <v>OK</v>
      </c>
      <c r="L349" s="151" t="str">
        <f t="shared" si="21"/>
        <v>March</v>
      </c>
      <c r="M349" s="152">
        <f t="shared" si="22"/>
        <v>2020</v>
      </c>
    </row>
    <row r="350" spans="2:13" x14ac:dyDescent="0.25">
      <c r="B350" s="144" t="s">
        <v>938</v>
      </c>
      <c r="C350" s="134">
        <v>43900</v>
      </c>
      <c r="D350" s="120"/>
      <c r="E350" s="123">
        <v>574</v>
      </c>
      <c r="F350" s="133"/>
      <c r="G350" s="127"/>
      <c r="H350" s="106"/>
      <c r="I350" s="136"/>
      <c r="J350" s="140">
        <f t="shared" si="23"/>
        <v>5171947</v>
      </c>
      <c r="K350" s="149" t="str">
        <f t="shared" si="20"/>
        <v>OK</v>
      </c>
      <c r="L350" s="151" t="str">
        <f t="shared" si="21"/>
        <v>March</v>
      </c>
      <c r="M350" s="152">
        <f t="shared" si="22"/>
        <v>2020</v>
      </c>
    </row>
    <row r="351" spans="2:13" x14ac:dyDescent="0.25">
      <c r="B351" s="144" t="s">
        <v>939</v>
      </c>
      <c r="C351" s="134">
        <v>43901</v>
      </c>
      <c r="D351" s="120"/>
      <c r="E351" s="123">
        <v>575</v>
      </c>
      <c r="F351" s="133"/>
      <c r="G351" s="127"/>
      <c r="H351" s="106"/>
      <c r="I351" s="136"/>
      <c r="J351" s="140">
        <f t="shared" si="23"/>
        <v>5171947</v>
      </c>
      <c r="K351" s="149" t="str">
        <f t="shared" si="20"/>
        <v>OK</v>
      </c>
      <c r="L351" s="151" t="str">
        <f t="shared" si="21"/>
        <v>March</v>
      </c>
      <c r="M351" s="152">
        <f t="shared" si="22"/>
        <v>2020</v>
      </c>
    </row>
    <row r="352" spans="2:13" x14ac:dyDescent="0.25">
      <c r="B352" s="144" t="s">
        <v>940</v>
      </c>
      <c r="C352" s="134">
        <v>43902</v>
      </c>
      <c r="D352" s="120"/>
      <c r="E352" s="123">
        <v>576</v>
      </c>
      <c r="F352" s="133"/>
      <c r="G352" s="127"/>
      <c r="H352" s="106"/>
      <c r="I352" s="136"/>
      <c r="J352" s="140">
        <f t="shared" si="23"/>
        <v>5171947</v>
      </c>
      <c r="K352" s="149" t="str">
        <f t="shared" si="20"/>
        <v>OK</v>
      </c>
      <c r="L352" s="151" t="str">
        <f t="shared" si="21"/>
        <v>March</v>
      </c>
      <c r="M352" s="152">
        <f t="shared" si="22"/>
        <v>2020</v>
      </c>
    </row>
    <row r="353" spans="2:13" x14ac:dyDescent="0.25">
      <c r="B353" s="144" t="s">
        <v>941</v>
      </c>
      <c r="C353" s="134">
        <v>43903</v>
      </c>
      <c r="D353" s="120"/>
      <c r="E353" s="123">
        <v>577</v>
      </c>
      <c r="F353" s="133"/>
      <c r="G353" s="127"/>
      <c r="H353" s="106"/>
      <c r="I353" s="136"/>
      <c r="J353" s="140">
        <f t="shared" si="23"/>
        <v>5171947</v>
      </c>
      <c r="K353" s="149" t="str">
        <f t="shared" si="20"/>
        <v>OK</v>
      </c>
      <c r="L353" s="151" t="str">
        <f t="shared" si="21"/>
        <v>March</v>
      </c>
      <c r="M353" s="152">
        <f t="shared" si="22"/>
        <v>2020</v>
      </c>
    </row>
    <row r="354" spans="2:13" x14ac:dyDescent="0.25">
      <c r="B354" s="144" t="s">
        <v>942</v>
      </c>
      <c r="C354" s="134">
        <v>43904</v>
      </c>
      <c r="D354" s="120"/>
      <c r="E354" s="123">
        <v>578</v>
      </c>
      <c r="F354" s="133"/>
      <c r="G354" s="127"/>
      <c r="H354" s="106"/>
      <c r="I354" s="136"/>
      <c r="J354" s="140">
        <f t="shared" si="23"/>
        <v>5171947</v>
      </c>
      <c r="K354" s="149" t="str">
        <f t="shared" si="20"/>
        <v>OK</v>
      </c>
      <c r="L354" s="151" t="str">
        <f t="shared" si="21"/>
        <v>March</v>
      </c>
      <c r="M354" s="152">
        <f t="shared" si="22"/>
        <v>2020</v>
      </c>
    </row>
    <row r="355" spans="2:13" x14ac:dyDescent="0.25">
      <c r="B355" s="144" t="s">
        <v>943</v>
      </c>
      <c r="C355" s="134">
        <v>43905</v>
      </c>
      <c r="D355" s="120"/>
      <c r="E355" s="123">
        <v>579</v>
      </c>
      <c r="F355" s="133"/>
      <c r="G355" s="127"/>
      <c r="H355" s="106"/>
      <c r="I355" s="136"/>
      <c r="J355" s="140">
        <f t="shared" si="23"/>
        <v>5171947</v>
      </c>
      <c r="K355" s="149" t="str">
        <f t="shared" si="20"/>
        <v>OK</v>
      </c>
      <c r="L355" s="151" t="str">
        <f t="shared" si="21"/>
        <v>March</v>
      </c>
      <c r="M355" s="152">
        <f t="shared" si="22"/>
        <v>2020</v>
      </c>
    </row>
    <row r="356" spans="2:13" x14ac:dyDescent="0.25">
      <c r="B356" s="144" t="s">
        <v>944</v>
      </c>
      <c r="C356" s="134">
        <v>43906</v>
      </c>
      <c r="D356" s="120"/>
      <c r="E356" s="123">
        <v>580</v>
      </c>
      <c r="F356" s="133"/>
      <c r="G356" s="127"/>
      <c r="H356" s="106"/>
      <c r="I356" s="136"/>
      <c r="J356" s="140">
        <f t="shared" si="23"/>
        <v>5171947</v>
      </c>
      <c r="K356" s="149" t="str">
        <f t="shared" si="20"/>
        <v>OK</v>
      </c>
      <c r="L356" s="151" t="str">
        <f t="shared" si="21"/>
        <v>March</v>
      </c>
      <c r="M356" s="152">
        <f t="shared" si="22"/>
        <v>2020</v>
      </c>
    </row>
    <row r="357" spans="2:13" x14ac:dyDescent="0.25">
      <c r="B357" s="144" t="s">
        <v>945</v>
      </c>
      <c r="C357" s="134">
        <v>43907</v>
      </c>
      <c r="D357" s="120"/>
      <c r="E357" s="123">
        <v>581</v>
      </c>
      <c r="F357" s="133"/>
      <c r="G357" s="127"/>
      <c r="H357" s="106"/>
      <c r="I357" s="136"/>
      <c r="J357" s="140">
        <f t="shared" si="23"/>
        <v>5171947</v>
      </c>
      <c r="K357" s="149" t="str">
        <f t="shared" si="20"/>
        <v>OK</v>
      </c>
      <c r="L357" s="151" t="str">
        <f t="shared" si="21"/>
        <v>March</v>
      </c>
      <c r="M357" s="152">
        <f t="shared" si="22"/>
        <v>2020</v>
      </c>
    </row>
    <row r="358" spans="2:13" x14ac:dyDescent="0.25">
      <c r="B358" s="144" t="s">
        <v>946</v>
      </c>
      <c r="C358" s="134">
        <v>43908</v>
      </c>
      <c r="D358" s="120"/>
      <c r="E358" s="123">
        <v>582</v>
      </c>
      <c r="F358" s="133"/>
      <c r="G358" s="127"/>
      <c r="H358" s="106"/>
      <c r="I358" s="136"/>
      <c r="J358" s="140">
        <f t="shared" si="23"/>
        <v>5171947</v>
      </c>
      <c r="K358" s="149" t="str">
        <f t="shared" si="20"/>
        <v>OK</v>
      </c>
      <c r="L358" s="151" t="str">
        <f t="shared" si="21"/>
        <v>March</v>
      </c>
      <c r="M358" s="152">
        <f t="shared" si="22"/>
        <v>2020</v>
      </c>
    </row>
    <row r="359" spans="2:13" x14ac:dyDescent="0.25">
      <c r="B359" s="144" t="s">
        <v>947</v>
      </c>
      <c r="C359" s="134">
        <v>43909</v>
      </c>
      <c r="D359" s="120"/>
      <c r="E359" s="123">
        <v>583</v>
      </c>
      <c r="F359" s="133"/>
      <c r="G359" s="127"/>
      <c r="H359" s="106"/>
      <c r="I359" s="136"/>
      <c r="J359" s="140">
        <f t="shared" si="23"/>
        <v>5171947</v>
      </c>
      <c r="K359" s="149" t="str">
        <f t="shared" si="20"/>
        <v>OK</v>
      </c>
      <c r="L359" s="151" t="str">
        <f t="shared" si="21"/>
        <v>March</v>
      </c>
      <c r="M359" s="152">
        <f t="shared" si="22"/>
        <v>2020</v>
      </c>
    </row>
    <row r="360" spans="2:13" x14ac:dyDescent="0.25">
      <c r="B360" s="144" t="s">
        <v>948</v>
      </c>
      <c r="C360" s="134">
        <v>43910</v>
      </c>
      <c r="D360" s="120"/>
      <c r="E360" s="123">
        <v>584</v>
      </c>
      <c r="F360" s="133"/>
      <c r="G360" s="127"/>
      <c r="H360" s="106"/>
      <c r="I360" s="136"/>
      <c r="J360" s="140">
        <f t="shared" si="23"/>
        <v>5171947</v>
      </c>
      <c r="K360" s="149" t="str">
        <f t="shared" si="20"/>
        <v>OK</v>
      </c>
      <c r="L360" s="151" t="str">
        <f t="shared" si="21"/>
        <v>March</v>
      </c>
      <c r="M360" s="152">
        <f t="shared" si="22"/>
        <v>2020</v>
      </c>
    </row>
    <row r="361" spans="2:13" x14ac:dyDescent="0.25">
      <c r="B361" s="144" t="s">
        <v>949</v>
      </c>
      <c r="C361" s="134">
        <v>43911</v>
      </c>
      <c r="D361" s="120"/>
      <c r="E361" s="123">
        <v>585</v>
      </c>
      <c r="F361" s="133"/>
      <c r="G361" s="127"/>
      <c r="H361" s="106"/>
      <c r="I361" s="136"/>
      <c r="J361" s="140">
        <f t="shared" si="23"/>
        <v>5171947</v>
      </c>
      <c r="K361" s="149" t="str">
        <f t="shared" si="20"/>
        <v>OK</v>
      </c>
      <c r="L361" s="151" t="str">
        <f t="shared" si="21"/>
        <v>March</v>
      </c>
      <c r="M361" s="152">
        <f t="shared" si="22"/>
        <v>2020</v>
      </c>
    </row>
    <row r="362" spans="2:13" x14ac:dyDescent="0.25">
      <c r="B362" s="144" t="s">
        <v>950</v>
      </c>
      <c r="C362" s="134">
        <v>43912</v>
      </c>
      <c r="D362" s="120"/>
      <c r="E362" s="123">
        <v>586</v>
      </c>
      <c r="F362" s="133"/>
      <c r="G362" s="127"/>
      <c r="H362" s="106"/>
      <c r="I362" s="136"/>
      <c r="J362" s="140">
        <f t="shared" si="23"/>
        <v>5171947</v>
      </c>
      <c r="K362" s="149" t="str">
        <f t="shared" si="20"/>
        <v>OK</v>
      </c>
      <c r="L362" s="151" t="str">
        <f t="shared" si="21"/>
        <v>March</v>
      </c>
      <c r="M362" s="152">
        <f t="shared" si="22"/>
        <v>2020</v>
      </c>
    </row>
    <row r="363" spans="2:13" x14ac:dyDescent="0.25">
      <c r="B363" s="144" t="s">
        <v>951</v>
      </c>
      <c r="C363" s="134">
        <v>43913</v>
      </c>
      <c r="D363" s="120"/>
      <c r="E363" s="123">
        <v>587</v>
      </c>
      <c r="F363" s="133"/>
      <c r="G363" s="127"/>
      <c r="H363" s="106"/>
      <c r="I363" s="136"/>
      <c r="J363" s="140">
        <f t="shared" si="23"/>
        <v>5171947</v>
      </c>
      <c r="K363" s="149" t="str">
        <f t="shared" si="20"/>
        <v>OK</v>
      </c>
      <c r="L363" s="151" t="str">
        <f t="shared" si="21"/>
        <v>March</v>
      </c>
      <c r="M363" s="152">
        <f t="shared" si="22"/>
        <v>2020</v>
      </c>
    </row>
    <row r="364" spans="2:13" x14ac:dyDescent="0.25">
      <c r="B364" s="144" t="s">
        <v>952</v>
      </c>
      <c r="C364" s="134">
        <v>43914</v>
      </c>
      <c r="D364" s="120"/>
      <c r="E364" s="123">
        <v>588</v>
      </c>
      <c r="F364" s="133"/>
      <c r="G364" s="127"/>
      <c r="H364" s="106"/>
      <c r="I364" s="136"/>
      <c r="J364" s="140">
        <f t="shared" si="23"/>
        <v>5171947</v>
      </c>
      <c r="K364" s="149" t="str">
        <f t="shared" si="20"/>
        <v>OK</v>
      </c>
      <c r="L364" s="151" t="str">
        <f t="shared" si="21"/>
        <v>March</v>
      </c>
      <c r="M364" s="152">
        <f t="shared" si="22"/>
        <v>2020</v>
      </c>
    </row>
    <row r="365" spans="2:13" x14ac:dyDescent="0.25">
      <c r="B365" s="144" t="s">
        <v>953</v>
      </c>
      <c r="C365" s="134">
        <v>43915</v>
      </c>
      <c r="D365" s="120"/>
      <c r="E365" s="123">
        <v>589</v>
      </c>
      <c r="F365" s="133"/>
      <c r="G365" s="127"/>
      <c r="H365" s="106"/>
      <c r="I365" s="136"/>
      <c r="J365" s="140">
        <f t="shared" si="23"/>
        <v>5171947</v>
      </c>
      <c r="K365" s="149" t="str">
        <f t="shared" si="20"/>
        <v>OK</v>
      </c>
      <c r="L365" s="151" t="str">
        <f t="shared" si="21"/>
        <v>March</v>
      </c>
      <c r="M365" s="152">
        <f t="shared" si="22"/>
        <v>2020</v>
      </c>
    </row>
    <row r="366" spans="2:13" x14ac:dyDescent="0.25">
      <c r="B366" s="144" t="s">
        <v>954</v>
      </c>
      <c r="C366" s="134">
        <v>43916</v>
      </c>
      <c r="D366" s="120"/>
      <c r="E366" s="123">
        <v>590</v>
      </c>
      <c r="F366" s="133"/>
      <c r="G366" s="127"/>
      <c r="H366" s="106"/>
      <c r="I366" s="136"/>
      <c r="J366" s="140">
        <f t="shared" si="23"/>
        <v>5171947</v>
      </c>
      <c r="K366" s="149" t="str">
        <f t="shared" si="20"/>
        <v>OK</v>
      </c>
      <c r="L366" s="151" t="str">
        <f t="shared" si="21"/>
        <v>March</v>
      </c>
      <c r="M366" s="152">
        <f t="shared" si="22"/>
        <v>2020</v>
      </c>
    </row>
    <row r="367" spans="2:13" x14ac:dyDescent="0.25">
      <c r="B367" s="144" t="s">
        <v>955</v>
      </c>
      <c r="C367" s="134">
        <v>43917</v>
      </c>
      <c r="D367" s="120"/>
      <c r="E367" s="123">
        <v>591</v>
      </c>
      <c r="F367" s="133"/>
      <c r="G367" s="127"/>
      <c r="H367" s="106"/>
      <c r="I367" s="136"/>
      <c r="J367" s="140">
        <f t="shared" si="23"/>
        <v>5171947</v>
      </c>
      <c r="K367" s="149" t="str">
        <f t="shared" si="20"/>
        <v>OK</v>
      </c>
      <c r="L367" s="151" t="str">
        <f t="shared" si="21"/>
        <v>March</v>
      </c>
      <c r="M367" s="152">
        <f t="shared" si="22"/>
        <v>2020</v>
      </c>
    </row>
    <row r="368" spans="2:13" x14ac:dyDescent="0.25">
      <c r="B368" s="144" t="s">
        <v>956</v>
      </c>
      <c r="C368" s="134">
        <v>43918</v>
      </c>
      <c r="D368" s="120"/>
      <c r="E368" s="123">
        <v>592</v>
      </c>
      <c r="F368" s="133"/>
      <c r="G368" s="127"/>
      <c r="H368" s="106"/>
      <c r="I368" s="136"/>
      <c r="J368" s="140">
        <f t="shared" si="23"/>
        <v>5171947</v>
      </c>
      <c r="K368" s="149" t="str">
        <f t="shared" si="20"/>
        <v>OK</v>
      </c>
      <c r="L368" s="151" t="str">
        <f t="shared" si="21"/>
        <v>March</v>
      </c>
      <c r="M368" s="152">
        <f t="shared" si="22"/>
        <v>2020</v>
      </c>
    </row>
    <row r="369" spans="2:13" x14ac:dyDescent="0.25">
      <c r="B369" s="144" t="s">
        <v>957</v>
      </c>
      <c r="C369" s="134">
        <v>43919</v>
      </c>
      <c r="D369" s="120"/>
      <c r="E369" s="123">
        <v>593</v>
      </c>
      <c r="F369" s="133"/>
      <c r="G369" s="127"/>
      <c r="H369" s="106"/>
      <c r="I369" s="136"/>
      <c r="J369" s="140">
        <f t="shared" si="23"/>
        <v>5171947</v>
      </c>
      <c r="K369" s="149" t="str">
        <f t="shared" si="20"/>
        <v>OK</v>
      </c>
      <c r="L369" s="151" t="str">
        <f t="shared" si="21"/>
        <v>March</v>
      </c>
      <c r="M369" s="152">
        <f t="shared" si="22"/>
        <v>2020</v>
      </c>
    </row>
    <row r="370" spans="2:13" x14ac:dyDescent="0.25">
      <c r="B370" s="144" t="s">
        <v>958</v>
      </c>
      <c r="C370" s="134">
        <v>43920</v>
      </c>
      <c r="D370" s="120"/>
      <c r="E370" s="123">
        <v>594</v>
      </c>
      <c r="F370" s="133"/>
      <c r="G370" s="127"/>
      <c r="H370" s="106"/>
      <c r="I370" s="136"/>
      <c r="J370" s="140">
        <f t="shared" si="23"/>
        <v>5171947</v>
      </c>
      <c r="K370" s="149" t="str">
        <f t="shared" si="20"/>
        <v>OK</v>
      </c>
      <c r="L370" s="151" t="str">
        <f t="shared" si="21"/>
        <v>March</v>
      </c>
      <c r="M370" s="152">
        <f t="shared" si="22"/>
        <v>2020</v>
      </c>
    </row>
    <row r="371" spans="2:13" x14ac:dyDescent="0.25">
      <c r="B371" s="144" t="s">
        <v>959</v>
      </c>
      <c r="C371" s="134"/>
      <c r="D371" s="120"/>
      <c r="E371" s="123"/>
      <c r="F371" s="133"/>
      <c r="G371" s="127"/>
      <c r="H371" s="106"/>
      <c r="I371" s="136"/>
      <c r="J371" s="140">
        <f t="shared" si="23"/>
        <v>5171947</v>
      </c>
      <c r="K371" s="149" t="str">
        <f t="shared" si="20"/>
        <v>OK</v>
      </c>
      <c r="L371" s="151" t="str">
        <f t="shared" si="21"/>
        <v>January</v>
      </c>
      <c r="M371" s="152">
        <f t="shared" si="22"/>
        <v>1900</v>
      </c>
    </row>
    <row r="372" spans="2:13" x14ac:dyDescent="0.25">
      <c r="B372" s="144" t="s">
        <v>960</v>
      </c>
      <c r="C372" s="134"/>
      <c r="D372" s="120"/>
      <c r="E372" s="123"/>
      <c r="F372" s="133"/>
      <c r="G372" s="127"/>
      <c r="H372" s="106"/>
      <c r="I372" s="136"/>
      <c r="J372" s="140">
        <f t="shared" si="23"/>
        <v>5171947</v>
      </c>
      <c r="K372" s="149" t="str">
        <f t="shared" si="20"/>
        <v>OK</v>
      </c>
      <c r="L372" s="151" t="str">
        <f t="shared" si="21"/>
        <v>January</v>
      </c>
      <c r="M372" s="152">
        <f t="shared" si="22"/>
        <v>1900</v>
      </c>
    </row>
    <row r="373" spans="2:13" x14ac:dyDescent="0.25">
      <c r="B373" s="144" t="s">
        <v>961</v>
      </c>
      <c r="C373" s="134"/>
      <c r="D373" s="120"/>
      <c r="E373" s="123"/>
      <c r="F373" s="133"/>
      <c r="G373" s="127"/>
      <c r="H373" s="106"/>
      <c r="I373" s="136"/>
      <c r="J373" s="140">
        <f t="shared" si="23"/>
        <v>5171947</v>
      </c>
      <c r="K373" s="149" t="str">
        <f t="shared" si="20"/>
        <v>OK</v>
      </c>
      <c r="L373" s="151" t="str">
        <f t="shared" si="21"/>
        <v>January</v>
      </c>
      <c r="M373" s="152">
        <f t="shared" si="22"/>
        <v>1900</v>
      </c>
    </row>
    <row r="374" spans="2:13" x14ac:dyDescent="0.25">
      <c r="B374" s="144" t="s">
        <v>962</v>
      </c>
      <c r="C374" s="134"/>
      <c r="D374" s="120"/>
      <c r="E374" s="123"/>
      <c r="F374" s="133"/>
      <c r="G374" s="127"/>
      <c r="H374" s="106"/>
      <c r="I374" s="136"/>
      <c r="J374" s="140">
        <f t="shared" si="23"/>
        <v>5171947</v>
      </c>
      <c r="K374" s="149" t="str">
        <f t="shared" si="20"/>
        <v>OK</v>
      </c>
      <c r="L374" s="151" t="str">
        <f t="shared" si="21"/>
        <v>January</v>
      </c>
      <c r="M374" s="152">
        <f t="shared" si="22"/>
        <v>1900</v>
      </c>
    </row>
    <row r="375" spans="2:13" x14ac:dyDescent="0.25">
      <c r="B375" s="144" t="s">
        <v>963</v>
      </c>
      <c r="C375" s="134"/>
      <c r="D375" s="120"/>
      <c r="E375" s="123"/>
      <c r="F375" s="133"/>
      <c r="G375" s="127"/>
      <c r="H375" s="106"/>
      <c r="I375" s="136"/>
      <c r="J375" s="140">
        <f t="shared" si="23"/>
        <v>5171947</v>
      </c>
      <c r="K375" s="149" t="str">
        <f t="shared" si="20"/>
        <v>OK</v>
      </c>
      <c r="L375" s="151" t="str">
        <f t="shared" si="21"/>
        <v>January</v>
      </c>
      <c r="M375" s="152">
        <f t="shared" si="22"/>
        <v>1900</v>
      </c>
    </row>
    <row r="376" spans="2:13" x14ac:dyDescent="0.25">
      <c r="B376" s="144" t="s">
        <v>964</v>
      </c>
      <c r="C376" s="134"/>
      <c r="D376" s="120"/>
      <c r="E376" s="123"/>
      <c r="F376" s="133"/>
      <c r="G376" s="127"/>
      <c r="H376" s="106"/>
      <c r="I376" s="136"/>
      <c r="J376" s="140">
        <f t="shared" si="23"/>
        <v>5171947</v>
      </c>
      <c r="K376" s="149" t="str">
        <f t="shared" si="20"/>
        <v>OK</v>
      </c>
      <c r="L376" s="151" t="str">
        <f t="shared" si="21"/>
        <v>January</v>
      </c>
      <c r="M376" s="152">
        <f t="shared" si="22"/>
        <v>1900</v>
      </c>
    </row>
    <row r="377" spans="2:13" x14ac:dyDescent="0.25">
      <c r="B377" s="144" t="s">
        <v>965</v>
      </c>
      <c r="C377" s="134"/>
      <c r="D377" s="120"/>
      <c r="E377" s="123"/>
      <c r="F377" s="133"/>
      <c r="G377" s="127"/>
      <c r="H377" s="106"/>
      <c r="I377" s="136"/>
      <c r="J377" s="140">
        <f t="shared" si="23"/>
        <v>5171947</v>
      </c>
      <c r="K377" s="149" t="str">
        <f t="shared" si="20"/>
        <v>OK</v>
      </c>
      <c r="L377" s="151" t="str">
        <f t="shared" si="21"/>
        <v>January</v>
      </c>
      <c r="M377" s="152">
        <f t="shared" si="22"/>
        <v>1900</v>
      </c>
    </row>
    <row r="378" spans="2:13" x14ac:dyDescent="0.25">
      <c r="B378" s="144" t="s">
        <v>966</v>
      </c>
      <c r="C378" s="134"/>
      <c r="D378" s="120"/>
      <c r="E378" s="123"/>
      <c r="F378" s="133"/>
      <c r="G378" s="127"/>
      <c r="H378" s="106"/>
      <c r="I378" s="136"/>
      <c r="J378" s="140">
        <f t="shared" si="23"/>
        <v>5171947</v>
      </c>
      <c r="K378" s="149" t="str">
        <f t="shared" si="20"/>
        <v>OK</v>
      </c>
      <c r="L378" s="151" t="str">
        <f t="shared" si="21"/>
        <v>January</v>
      </c>
      <c r="M378" s="152">
        <f t="shared" si="22"/>
        <v>1900</v>
      </c>
    </row>
    <row r="379" spans="2:13" x14ac:dyDescent="0.25">
      <c r="B379" s="144" t="s">
        <v>967</v>
      </c>
      <c r="C379" s="134"/>
      <c r="D379" s="120"/>
      <c r="E379" s="123"/>
      <c r="F379" s="133"/>
      <c r="G379" s="127"/>
      <c r="H379" s="106"/>
      <c r="I379" s="136"/>
      <c r="J379" s="140">
        <f t="shared" si="23"/>
        <v>5171947</v>
      </c>
      <c r="K379" s="149" t="str">
        <f t="shared" si="20"/>
        <v>OK</v>
      </c>
      <c r="L379" s="151" t="str">
        <f t="shared" si="21"/>
        <v>January</v>
      </c>
      <c r="M379" s="152">
        <f t="shared" si="22"/>
        <v>1900</v>
      </c>
    </row>
    <row r="380" spans="2:13" x14ac:dyDescent="0.25">
      <c r="B380" s="144" t="s">
        <v>968</v>
      </c>
      <c r="C380" s="134"/>
      <c r="D380" s="120"/>
      <c r="E380" s="123"/>
      <c r="F380" s="133"/>
      <c r="G380" s="127"/>
      <c r="H380" s="106"/>
      <c r="I380" s="136"/>
      <c r="J380" s="140">
        <f t="shared" si="23"/>
        <v>5171947</v>
      </c>
      <c r="K380" s="149" t="str">
        <f t="shared" si="20"/>
        <v>OK</v>
      </c>
      <c r="L380" s="151" t="str">
        <f t="shared" si="21"/>
        <v>January</v>
      </c>
      <c r="M380" s="152">
        <f t="shared" si="22"/>
        <v>1900</v>
      </c>
    </row>
    <row r="381" spans="2:13" x14ac:dyDescent="0.25">
      <c r="B381" s="144" t="s">
        <v>969</v>
      </c>
      <c r="C381" s="134"/>
      <c r="D381" s="120"/>
      <c r="E381" s="123"/>
      <c r="F381" s="133"/>
      <c r="G381" s="127"/>
      <c r="H381" s="106"/>
      <c r="I381" s="136"/>
      <c r="J381" s="140">
        <f t="shared" si="23"/>
        <v>5171947</v>
      </c>
      <c r="K381" s="149" t="str">
        <f t="shared" si="20"/>
        <v>OK</v>
      </c>
      <c r="L381" s="151" t="str">
        <f t="shared" si="21"/>
        <v>January</v>
      </c>
      <c r="M381" s="152">
        <f t="shared" si="22"/>
        <v>1900</v>
      </c>
    </row>
    <row r="382" spans="2:13" x14ac:dyDescent="0.25">
      <c r="B382" s="144" t="s">
        <v>970</v>
      </c>
      <c r="C382" s="134"/>
      <c r="D382" s="120"/>
      <c r="E382" s="123"/>
      <c r="F382" s="133"/>
      <c r="G382" s="127"/>
      <c r="H382" s="106"/>
      <c r="I382" s="136"/>
      <c r="J382" s="140">
        <f t="shared" si="23"/>
        <v>5171947</v>
      </c>
      <c r="K382" s="149" t="str">
        <f t="shared" si="20"/>
        <v>OK</v>
      </c>
      <c r="L382" s="151" t="str">
        <f t="shared" si="21"/>
        <v>January</v>
      </c>
      <c r="M382" s="152">
        <f t="shared" si="22"/>
        <v>1900</v>
      </c>
    </row>
    <row r="383" spans="2:13" x14ac:dyDescent="0.25">
      <c r="B383" s="144" t="s">
        <v>971</v>
      </c>
      <c r="C383" s="134"/>
      <c r="D383" s="120"/>
      <c r="E383" s="123"/>
      <c r="F383" s="133"/>
      <c r="G383" s="127"/>
      <c r="H383" s="106"/>
      <c r="I383" s="136"/>
      <c r="J383" s="140">
        <f t="shared" si="23"/>
        <v>5171947</v>
      </c>
      <c r="K383" s="149" t="str">
        <f t="shared" si="20"/>
        <v>OK</v>
      </c>
      <c r="L383" s="151" t="str">
        <f t="shared" si="21"/>
        <v>January</v>
      </c>
      <c r="M383" s="152">
        <f t="shared" si="22"/>
        <v>1900</v>
      </c>
    </row>
    <row r="384" spans="2:13" x14ac:dyDescent="0.25">
      <c r="B384" s="144" t="s">
        <v>972</v>
      </c>
      <c r="C384" s="134"/>
      <c r="D384" s="120"/>
      <c r="E384" s="123"/>
      <c r="F384" s="133"/>
      <c r="G384" s="127"/>
      <c r="H384" s="106"/>
      <c r="I384" s="136"/>
      <c r="J384" s="140">
        <f t="shared" si="23"/>
        <v>5171947</v>
      </c>
      <c r="K384" s="149" t="str">
        <f t="shared" si="20"/>
        <v>OK</v>
      </c>
      <c r="L384" s="151" t="str">
        <f t="shared" si="21"/>
        <v>January</v>
      </c>
      <c r="M384" s="152">
        <f t="shared" si="22"/>
        <v>1900</v>
      </c>
    </row>
    <row r="385" spans="2:13" x14ac:dyDescent="0.25">
      <c r="B385" s="144" t="s">
        <v>973</v>
      </c>
      <c r="C385" s="134"/>
      <c r="D385" s="120"/>
      <c r="E385" s="123"/>
      <c r="F385" s="133"/>
      <c r="G385" s="127"/>
      <c r="H385" s="106"/>
      <c r="I385" s="136"/>
      <c r="J385" s="140">
        <f t="shared" si="23"/>
        <v>5171947</v>
      </c>
      <c r="K385" s="149" t="str">
        <f t="shared" si="20"/>
        <v>OK</v>
      </c>
      <c r="L385" s="151" t="str">
        <f t="shared" si="21"/>
        <v>January</v>
      </c>
      <c r="M385" s="152">
        <f t="shared" si="22"/>
        <v>1900</v>
      </c>
    </row>
    <row r="386" spans="2:13" x14ac:dyDescent="0.25">
      <c r="B386" s="144" t="s">
        <v>974</v>
      </c>
      <c r="C386" s="134"/>
      <c r="D386" s="120"/>
      <c r="E386" s="123"/>
      <c r="F386" s="133"/>
      <c r="G386" s="127"/>
      <c r="H386" s="106"/>
      <c r="I386" s="136"/>
      <c r="J386" s="140">
        <f t="shared" si="23"/>
        <v>5171947</v>
      </c>
      <c r="K386" s="149" t="str">
        <f t="shared" si="20"/>
        <v>OK</v>
      </c>
      <c r="L386" s="151" t="str">
        <f t="shared" si="21"/>
        <v>January</v>
      </c>
      <c r="M386" s="152">
        <f t="shared" si="22"/>
        <v>1900</v>
      </c>
    </row>
    <row r="387" spans="2:13" x14ac:dyDescent="0.25">
      <c r="B387" s="144" t="s">
        <v>975</v>
      </c>
      <c r="C387" s="134"/>
      <c r="D387" s="120"/>
      <c r="E387" s="123"/>
      <c r="F387" s="133"/>
      <c r="G387" s="127"/>
      <c r="H387" s="106"/>
      <c r="I387" s="136"/>
      <c r="J387" s="140">
        <f t="shared" si="23"/>
        <v>5171947</v>
      </c>
      <c r="K387" s="149" t="str">
        <f t="shared" si="20"/>
        <v>OK</v>
      </c>
      <c r="L387" s="151" t="str">
        <f t="shared" si="21"/>
        <v>January</v>
      </c>
      <c r="M387" s="152">
        <f t="shared" si="22"/>
        <v>1900</v>
      </c>
    </row>
    <row r="388" spans="2:13" x14ac:dyDescent="0.25">
      <c r="B388" s="144" t="s">
        <v>976</v>
      </c>
      <c r="C388" s="134"/>
      <c r="D388" s="120"/>
      <c r="E388" s="123"/>
      <c r="F388" s="133"/>
      <c r="G388" s="127"/>
      <c r="H388" s="106"/>
      <c r="I388" s="136"/>
      <c r="J388" s="140">
        <f t="shared" si="23"/>
        <v>5171947</v>
      </c>
      <c r="K388" s="149" t="str">
        <f t="shared" si="20"/>
        <v>OK</v>
      </c>
      <c r="L388" s="151" t="str">
        <f t="shared" si="21"/>
        <v>January</v>
      </c>
      <c r="M388" s="152">
        <f t="shared" si="22"/>
        <v>1900</v>
      </c>
    </row>
    <row r="389" spans="2:13" x14ac:dyDescent="0.25">
      <c r="B389" s="144" t="s">
        <v>977</v>
      </c>
      <c r="C389" s="134"/>
      <c r="D389" s="120"/>
      <c r="E389" s="123"/>
      <c r="F389" s="133"/>
      <c r="G389" s="127"/>
      <c r="H389" s="106"/>
      <c r="I389" s="136"/>
      <c r="J389" s="140">
        <f t="shared" si="23"/>
        <v>5171947</v>
      </c>
      <c r="K389" s="149" t="str">
        <f t="shared" si="20"/>
        <v>OK</v>
      </c>
      <c r="L389" s="151" t="str">
        <f t="shared" si="21"/>
        <v>January</v>
      </c>
      <c r="M389" s="152">
        <f t="shared" si="22"/>
        <v>1900</v>
      </c>
    </row>
    <row r="390" spans="2:13" x14ac:dyDescent="0.25">
      <c r="B390" s="144" t="s">
        <v>978</v>
      </c>
      <c r="C390" s="134"/>
      <c r="D390" s="120"/>
      <c r="E390" s="123"/>
      <c r="F390" s="133"/>
      <c r="G390" s="127"/>
      <c r="H390" s="106"/>
      <c r="I390" s="136"/>
      <c r="J390" s="140">
        <f t="shared" si="23"/>
        <v>5171947</v>
      </c>
      <c r="K390" s="149" t="str">
        <f t="shared" si="20"/>
        <v>OK</v>
      </c>
      <c r="L390" s="151" t="str">
        <f t="shared" si="21"/>
        <v>January</v>
      </c>
      <c r="M390" s="152">
        <f t="shared" si="22"/>
        <v>1900</v>
      </c>
    </row>
    <row r="391" spans="2:13" x14ac:dyDescent="0.25">
      <c r="B391" s="144" t="s">
        <v>979</v>
      </c>
      <c r="C391" s="134"/>
      <c r="D391" s="120"/>
      <c r="E391" s="123"/>
      <c r="F391" s="133"/>
      <c r="G391" s="127"/>
      <c r="H391" s="106"/>
      <c r="I391" s="136"/>
      <c r="J391" s="140">
        <f t="shared" si="23"/>
        <v>5171947</v>
      </c>
      <c r="K391" s="149" t="str">
        <f t="shared" si="20"/>
        <v>OK</v>
      </c>
      <c r="L391" s="151" t="str">
        <f t="shared" si="21"/>
        <v>January</v>
      </c>
      <c r="M391" s="152">
        <f t="shared" si="22"/>
        <v>1900</v>
      </c>
    </row>
    <row r="392" spans="2:13" x14ac:dyDescent="0.25">
      <c r="B392" s="144" t="s">
        <v>980</v>
      </c>
      <c r="C392" s="134"/>
      <c r="D392" s="120"/>
      <c r="E392" s="123"/>
      <c r="F392" s="133"/>
      <c r="G392" s="127"/>
      <c r="H392" s="106"/>
      <c r="I392" s="136"/>
      <c r="J392" s="140">
        <f t="shared" si="23"/>
        <v>5171947</v>
      </c>
      <c r="K392" s="149" t="str">
        <f t="shared" si="20"/>
        <v>OK</v>
      </c>
      <c r="L392" s="151" t="str">
        <f t="shared" si="21"/>
        <v>January</v>
      </c>
      <c r="M392" s="152">
        <f t="shared" si="22"/>
        <v>1900</v>
      </c>
    </row>
    <row r="393" spans="2:13" x14ac:dyDescent="0.25">
      <c r="B393" s="144" t="s">
        <v>981</v>
      </c>
      <c r="C393" s="134"/>
      <c r="D393" s="120"/>
      <c r="E393" s="123"/>
      <c r="F393" s="133"/>
      <c r="G393" s="127"/>
      <c r="H393" s="106"/>
      <c r="I393" s="136"/>
      <c r="J393" s="140">
        <f t="shared" si="23"/>
        <v>5171947</v>
      </c>
      <c r="K393" s="149" t="str">
        <f t="shared" si="20"/>
        <v>OK</v>
      </c>
      <c r="L393" s="151" t="str">
        <f t="shared" si="21"/>
        <v>January</v>
      </c>
      <c r="M393" s="152">
        <f t="shared" si="22"/>
        <v>1900</v>
      </c>
    </row>
    <row r="394" spans="2:13" x14ac:dyDescent="0.25">
      <c r="B394" s="144" t="s">
        <v>982</v>
      </c>
      <c r="C394" s="134"/>
      <c r="D394" s="120"/>
      <c r="E394" s="123"/>
      <c r="F394" s="133"/>
      <c r="G394" s="127"/>
      <c r="H394" s="106"/>
      <c r="I394" s="136"/>
      <c r="J394" s="140">
        <f t="shared" si="23"/>
        <v>5171947</v>
      </c>
      <c r="K394" s="149" t="str">
        <f t="shared" si="20"/>
        <v>OK</v>
      </c>
      <c r="L394" s="151" t="str">
        <f t="shared" si="21"/>
        <v>January</v>
      </c>
      <c r="M394" s="152">
        <f t="shared" si="22"/>
        <v>1900</v>
      </c>
    </row>
    <row r="395" spans="2:13" x14ac:dyDescent="0.25">
      <c r="B395" s="144" t="s">
        <v>983</v>
      </c>
      <c r="C395" s="134"/>
      <c r="D395" s="120"/>
      <c r="E395" s="123"/>
      <c r="F395" s="133"/>
      <c r="G395" s="127"/>
      <c r="H395" s="106"/>
      <c r="I395" s="136"/>
      <c r="J395" s="140">
        <f t="shared" si="23"/>
        <v>5171947</v>
      </c>
      <c r="K395" s="149" t="str">
        <f t="shared" ref="K395:K409" si="24">IF(AND(F395&lt;&gt;"",G395&lt;&gt;""),"ERROR","OK")</f>
        <v>OK</v>
      </c>
      <c r="L395" s="151" t="str">
        <f t="shared" ref="L395:L409" si="25">TEXT(C395,"mmmm")</f>
        <v>January</v>
      </c>
      <c r="M395" s="152">
        <f t="shared" ref="M395:M409" si="26">YEAR(C395)</f>
        <v>1900</v>
      </c>
    </row>
    <row r="396" spans="2:13" x14ac:dyDescent="0.25">
      <c r="B396" s="144" t="s">
        <v>984</v>
      </c>
      <c r="C396" s="134"/>
      <c r="D396" s="120"/>
      <c r="E396" s="123"/>
      <c r="F396" s="133"/>
      <c r="G396" s="127"/>
      <c r="H396" s="106"/>
      <c r="I396" s="136"/>
      <c r="J396" s="140">
        <f t="shared" ref="J396:J409" si="27">($J395+$F396)-$G396</f>
        <v>5171947</v>
      </c>
      <c r="K396" s="149" t="str">
        <f t="shared" si="24"/>
        <v>OK</v>
      </c>
      <c r="L396" s="151" t="str">
        <f t="shared" si="25"/>
        <v>January</v>
      </c>
      <c r="M396" s="152">
        <f t="shared" si="26"/>
        <v>1900</v>
      </c>
    </row>
    <row r="397" spans="2:13" x14ac:dyDescent="0.25">
      <c r="B397" s="144" t="s">
        <v>985</v>
      </c>
      <c r="C397" s="134"/>
      <c r="D397" s="120"/>
      <c r="E397" s="123"/>
      <c r="F397" s="133"/>
      <c r="G397" s="127"/>
      <c r="H397" s="106"/>
      <c r="I397" s="136"/>
      <c r="J397" s="140">
        <f t="shared" si="27"/>
        <v>5171947</v>
      </c>
      <c r="K397" s="149" t="str">
        <f t="shared" si="24"/>
        <v>OK</v>
      </c>
      <c r="L397" s="151" t="str">
        <f t="shared" si="25"/>
        <v>January</v>
      </c>
      <c r="M397" s="152">
        <f t="shared" si="26"/>
        <v>1900</v>
      </c>
    </row>
    <row r="398" spans="2:13" x14ac:dyDescent="0.25">
      <c r="B398" s="144" t="s">
        <v>986</v>
      </c>
      <c r="C398" s="134"/>
      <c r="D398" s="120"/>
      <c r="E398" s="123"/>
      <c r="F398" s="133"/>
      <c r="G398" s="127"/>
      <c r="H398" s="106"/>
      <c r="I398" s="136"/>
      <c r="J398" s="140">
        <f t="shared" si="27"/>
        <v>5171947</v>
      </c>
      <c r="K398" s="149" t="str">
        <f t="shared" si="24"/>
        <v>OK</v>
      </c>
      <c r="L398" s="151" t="str">
        <f t="shared" si="25"/>
        <v>January</v>
      </c>
      <c r="M398" s="152">
        <f t="shared" si="26"/>
        <v>1900</v>
      </c>
    </row>
    <row r="399" spans="2:13" x14ac:dyDescent="0.25">
      <c r="B399" s="144" t="s">
        <v>987</v>
      </c>
      <c r="C399" s="134"/>
      <c r="D399" s="120"/>
      <c r="E399" s="123"/>
      <c r="F399" s="133"/>
      <c r="G399" s="127"/>
      <c r="H399" s="106"/>
      <c r="I399" s="136"/>
      <c r="J399" s="140">
        <f t="shared" si="27"/>
        <v>5171947</v>
      </c>
      <c r="K399" s="149" t="str">
        <f t="shared" si="24"/>
        <v>OK</v>
      </c>
      <c r="L399" s="151" t="str">
        <f t="shared" si="25"/>
        <v>January</v>
      </c>
      <c r="M399" s="152">
        <f t="shared" si="26"/>
        <v>1900</v>
      </c>
    </row>
    <row r="400" spans="2:13" x14ac:dyDescent="0.25">
      <c r="B400" s="144" t="s">
        <v>988</v>
      </c>
      <c r="C400" s="134"/>
      <c r="D400" s="120"/>
      <c r="E400" s="123"/>
      <c r="F400" s="133"/>
      <c r="G400" s="127"/>
      <c r="H400" s="106"/>
      <c r="I400" s="136"/>
      <c r="J400" s="140">
        <f t="shared" si="27"/>
        <v>5171947</v>
      </c>
      <c r="K400" s="149" t="str">
        <f t="shared" si="24"/>
        <v>OK</v>
      </c>
      <c r="L400" s="151" t="str">
        <f t="shared" si="25"/>
        <v>January</v>
      </c>
      <c r="M400" s="152">
        <f t="shared" si="26"/>
        <v>1900</v>
      </c>
    </row>
    <row r="401" spans="2:13" x14ac:dyDescent="0.25">
      <c r="B401" s="144" t="s">
        <v>989</v>
      </c>
      <c r="C401" s="134"/>
      <c r="D401" s="120"/>
      <c r="E401" s="123"/>
      <c r="F401" s="133"/>
      <c r="G401" s="127"/>
      <c r="H401" s="106"/>
      <c r="I401" s="136"/>
      <c r="J401" s="140">
        <f t="shared" si="27"/>
        <v>5171947</v>
      </c>
      <c r="K401" s="149" t="str">
        <f t="shared" si="24"/>
        <v>OK</v>
      </c>
      <c r="L401" s="151" t="str">
        <f t="shared" si="25"/>
        <v>January</v>
      </c>
      <c r="M401" s="152">
        <f t="shared" si="26"/>
        <v>1900</v>
      </c>
    </row>
    <row r="402" spans="2:13" x14ac:dyDescent="0.25">
      <c r="B402" s="144" t="s">
        <v>990</v>
      </c>
      <c r="C402" s="134"/>
      <c r="D402" s="120"/>
      <c r="E402" s="123"/>
      <c r="F402" s="133"/>
      <c r="G402" s="127"/>
      <c r="H402" s="106"/>
      <c r="I402" s="136"/>
      <c r="J402" s="140">
        <f t="shared" si="27"/>
        <v>5171947</v>
      </c>
      <c r="K402" s="149" t="str">
        <f t="shared" si="24"/>
        <v>OK</v>
      </c>
      <c r="L402" s="151" t="str">
        <f t="shared" si="25"/>
        <v>January</v>
      </c>
      <c r="M402" s="152">
        <f t="shared" si="26"/>
        <v>1900</v>
      </c>
    </row>
    <row r="403" spans="2:13" x14ac:dyDescent="0.25">
      <c r="B403" s="144" t="s">
        <v>991</v>
      </c>
      <c r="C403" s="134"/>
      <c r="D403" s="120"/>
      <c r="E403" s="123"/>
      <c r="F403" s="133"/>
      <c r="G403" s="127"/>
      <c r="H403" s="106"/>
      <c r="I403" s="136"/>
      <c r="J403" s="140">
        <f t="shared" si="27"/>
        <v>5171947</v>
      </c>
      <c r="K403" s="149" t="str">
        <f t="shared" si="24"/>
        <v>OK</v>
      </c>
      <c r="L403" s="151" t="str">
        <f t="shared" si="25"/>
        <v>January</v>
      </c>
      <c r="M403" s="152">
        <f t="shared" si="26"/>
        <v>1900</v>
      </c>
    </row>
    <row r="404" spans="2:13" x14ac:dyDescent="0.25">
      <c r="B404" s="144" t="s">
        <v>992</v>
      </c>
      <c r="C404" s="134"/>
      <c r="D404" s="120"/>
      <c r="E404" s="123"/>
      <c r="F404" s="133"/>
      <c r="G404" s="127"/>
      <c r="H404" s="106"/>
      <c r="I404" s="136"/>
      <c r="J404" s="140">
        <f t="shared" si="27"/>
        <v>5171947</v>
      </c>
      <c r="K404" s="149" t="str">
        <f t="shared" si="24"/>
        <v>OK</v>
      </c>
      <c r="L404" s="151" t="str">
        <f t="shared" si="25"/>
        <v>January</v>
      </c>
      <c r="M404" s="152">
        <f t="shared" si="26"/>
        <v>1900</v>
      </c>
    </row>
    <row r="405" spans="2:13" x14ac:dyDescent="0.25">
      <c r="B405" s="144" t="s">
        <v>993</v>
      </c>
      <c r="C405" s="134"/>
      <c r="D405" s="120"/>
      <c r="E405" s="123"/>
      <c r="F405" s="133"/>
      <c r="G405" s="127"/>
      <c r="H405" s="106"/>
      <c r="I405" s="136"/>
      <c r="J405" s="140">
        <f t="shared" si="27"/>
        <v>5171947</v>
      </c>
      <c r="K405" s="149" t="str">
        <f t="shared" si="24"/>
        <v>OK</v>
      </c>
      <c r="L405" s="151" t="str">
        <f t="shared" si="25"/>
        <v>January</v>
      </c>
      <c r="M405" s="152">
        <f t="shared" si="26"/>
        <v>1900</v>
      </c>
    </row>
    <row r="406" spans="2:13" x14ac:dyDescent="0.25">
      <c r="B406" s="144" t="s">
        <v>994</v>
      </c>
      <c r="C406" s="134"/>
      <c r="D406" s="120"/>
      <c r="E406" s="123"/>
      <c r="F406" s="133"/>
      <c r="G406" s="127"/>
      <c r="H406" s="106"/>
      <c r="I406" s="136"/>
      <c r="J406" s="140">
        <f t="shared" si="27"/>
        <v>5171947</v>
      </c>
      <c r="K406" s="149" t="str">
        <f t="shared" si="24"/>
        <v>OK</v>
      </c>
      <c r="L406" s="151" t="str">
        <f t="shared" si="25"/>
        <v>January</v>
      </c>
      <c r="M406" s="152">
        <f t="shared" si="26"/>
        <v>1900</v>
      </c>
    </row>
    <row r="407" spans="2:13" x14ac:dyDescent="0.25">
      <c r="B407" s="144" t="s">
        <v>995</v>
      </c>
      <c r="C407" s="134"/>
      <c r="D407" s="120"/>
      <c r="E407" s="123"/>
      <c r="F407" s="133"/>
      <c r="G407" s="127"/>
      <c r="H407" s="106"/>
      <c r="I407" s="136"/>
      <c r="J407" s="140">
        <f t="shared" si="27"/>
        <v>5171947</v>
      </c>
      <c r="K407" s="149" t="str">
        <f t="shared" si="24"/>
        <v>OK</v>
      </c>
      <c r="L407" s="151" t="str">
        <f t="shared" si="25"/>
        <v>January</v>
      </c>
      <c r="M407" s="152">
        <f t="shared" si="26"/>
        <v>1900</v>
      </c>
    </row>
    <row r="408" spans="2:13" x14ac:dyDescent="0.25">
      <c r="B408" s="144" t="s">
        <v>996</v>
      </c>
      <c r="C408" s="134"/>
      <c r="D408" s="120"/>
      <c r="E408" s="123"/>
      <c r="F408" s="133"/>
      <c r="G408" s="127"/>
      <c r="H408" s="106"/>
      <c r="I408" s="136"/>
      <c r="J408" s="140">
        <f t="shared" si="27"/>
        <v>5171947</v>
      </c>
      <c r="K408" s="149" t="str">
        <f t="shared" si="24"/>
        <v>OK</v>
      </c>
      <c r="L408" s="151" t="str">
        <f t="shared" si="25"/>
        <v>January</v>
      </c>
      <c r="M408" s="152">
        <f t="shared" si="26"/>
        <v>1900</v>
      </c>
    </row>
    <row r="409" spans="2:13" ht="15.75" thickBot="1" x14ac:dyDescent="0.3">
      <c r="B409" s="145" t="s">
        <v>997</v>
      </c>
      <c r="C409" s="135"/>
      <c r="D409" s="121"/>
      <c r="E409" s="124"/>
      <c r="F409" s="142"/>
      <c r="G409" s="128"/>
      <c r="H409" s="125"/>
      <c r="I409" s="137"/>
      <c r="J409" s="143">
        <f t="shared" si="27"/>
        <v>5171947</v>
      </c>
      <c r="K409" s="150" t="str">
        <f t="shared" si="24"/>
        <v>OK</v>
      </c>
      <c r="L409" s="153" t="str">
        <f t="shared" si="25"/>
        <v>January</v>
      </c>
      <c r="M409" s="154">
        <f t="shared" si="26"/>
        <v>1900</v>
      </c>
    </row>
  </sheetData>
  <mergeCells count="20">
    <mergeCell ref="B5:C5"/>
    <mergeCell ref="D5:F5"/>
    <mergeCell ref="H5:I5"/>
    <mergeCell ref="H6:I6"/>
    <mergeCell ref="H7:I7"/>
    <mergeCell ref="O4:Q4"/>
    <mergeCell ref="B1:C1"/>
    <mergeCell ref="D1:F1"/>
    <mergeCell ref="H1:I1"/>
    <mergeCell ref="W1:Y1"/>
    <mergeCell ref="B2:C2"/>
    <mergeCell ref="D2:F2"/>
    <mergeCell ref="H2:I2"/>
    <mergeCell ref="O2:Q2"/>
    <mergeCell ref="S2:U2"/>
    <mergeCell ref="B3:C3"/>
    <mergeCell ref="D3:F3"/>
    <mergeCell ref="B4:C4"/>
    <mergeCell ref="D4:F4"/>
    <mergeCell ref="H4:I4"/>
  </mergeCells>
  <dataValidations count="6">
    <dataValidation type="date" allowBlank="1" showInputMessage="1" showErrorMessage="1" sqref="C10:C409">
      <formula1>43831</formula1>
      <formula2>TODAY()</formula2>
    </dataValidation>
    <dataValidation type="whole" allowBlank="1" showInputMessage="1" showErrorMessage="1" sqref="I10:I409">
      <formula1>111</formula1>
      <formula2>99999999</formula2>
    </dataValidation>
    <dataValidation type="whole" allowBlank="1" showInputMessage="1" showErrorMessage="1" sqref="F10:G409">
      <formula1>1000</formula1>
      <formula2>5000000</formula2>
    </dataValidation>
    <dataValidation type="whole" allowBlank="1" showInputMessage="1" showErrorMessage="1" sqref="E10:E409 M10:M409">
      <formula1>1</formula1>
      <formula2>9999999999</formula2>
    </dataValidation>
    <dataValidation type="list" allowBlank="1" showInputMessage="1" showErrorMessage="1" sqref="H10:H409">
      <formula1>"Cash, Cheque"</formula1>
    </dataValidation>
    <dataValidation type="list" allowBlank="1" showInputMessage="1" showErrorMessage="1" sqref="D10:D409">
      <formula1>"Bill, Reciept"</formula1>
    </dataValidation>
  </dataValidations>
  <pageMargins left="0" right="0" top="0" bottom="0" header="0.31496062992125984" footer="0.31496062992125984"/>
  <pageSetup paperSize="9" orientation="portrait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B22" sqref="B22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33"/>
  <sheetViews>
    <sheetView workbookViewId="0">
      <selection activeCell="E18" sqref="E18"/>
    </sheetView>
  </sheetViews>
  <sheetFormatPr defaultRowHeight="20.100000000000001" customHeight="1" x14ac:dyDescent="0.25"/>
  <cols>
    <col min="1" max="3" width="9.140625" style="53"/>
    <col min="4" max="4" width="9.140625" style="54" customWidth="1"/>
    <col min="5" max="5" width="31.28515625" style="18" customWidth="1"/>
    <col min="6" max="6" width="17.85546875" style="18" customWidth="1"/>
    <col min="7" max="7" width="19.42578125" style="17" customWidth="1"/>
    <col min="8" max="8" width="21.7109375" style="89" customWidth="1"/>
    <col min="9" max="9" width="25.5703125" style="23" customWidth="1"/>
    <col min="10" max="12" width="9.140625" style="24"/>
    <col min="13" max="16384" width="9.140625" style="1"/>
  </cols>
  <sheetData>
    <row r="1" spans="3:17" ht="15.75" customHeight="1" x14ac:dyDescent="0.25">
      <c r="D1" s="231"/>
      <c r="E1" s="235"/>
      <c r="F1" s="237" t="s">
        <v>160</v>
      </c>
      <c r="G1" s="237"/>
      <c r="H1" s="237"/>
      <c r="I1" s="232" t="s">
        <v>158</v>
      </c>
    </row>
    <row r="2" spans="3:17" ht="15.75" customHeight="1" x14ac:dyDescent="0.25">
      <c r="D2" s="231"/>
      <c r="E2" s="236"/>
      <c r="F2" s="238"/>
      <c r="G2" s="238"/>
      <c r="H2" s="238"/>
      <c r="I2" s="232"/>
    </row>
    <row r="3" spans="3:17" ht="15.75" customHeight="1" x14ac:dyDescent="0.25">
      <c r="D3" s="231"/>
      <c r="E3" s="236"/>
      <c r="F3" s="239" t="s">
        <v>161</v>
      </c>
      <c r="G3" s="239"/>
      <c r="H3" s="239"/>
      <c r="I3" s="233">
        <f ca="1">(TODAY())</f>
        <v>43928</v>
      </c>
    </row>
    <row r="4" spans="3:17" ht="16.5" customHeight="1" x14ac:dyDescent="0.25">
      <c r="D4" s="231"/>
      <c r="E4" s="236"/>
      <c r="F4" s="240" t="s">
        <v>162</v>
      </c>
      <c r="G4" s="240"/>
      <c r="H4" s="240"/>
      <c r="I4" s="234"/>
    </row>
    <row r="5" spans="3:17" ht="39.950000000000003" customHeight="1" x14ac:dyDescent="0.25">
      <c r="D5" s="29" t="s">
        <v>0</v>
      </c>
      <c r="E5" s="30" t="s">
        <v>165</v>
      </c>
      <c r="F5" s="30" t="s">
        <v>163</v>
      </c>
      <c r="G5" s="30" t="s">
        <v>164</v>
      </c>
      <c r="H5" s="90" t="s">
        <v>156</v>
      </c>
      <c r="I5" s="32" t="s">
        <v>1</v>
      </c>
      <c r="M5" s="2"/>
      <c r="N5" s="2"/>
      <c r="O5" s="2"/>
      <c r="P5" s="2"/>
      <c r="Q5" s="2"/>
    </row>
    <row r="6" spans="3:17" ht="20.100000000000001" customHeight="1" x14ac:dyDescent="0.25">
      <c r="D6" s="55"/>
      <c r="E6" s="79" t="s">
        <v>179</v>
      </c>
      <c r="F6" s="56"/>
      <c r="G6" s="56"/>
      <c r="H6" s="86"/>
      <c r="I6" s="57"/>
      <c r="J6" s="26"/>
      <c r="K6" s="26"/>
      <c r="L6" s="26"/>
      <c r="M6" s="2"/>
      <c r="N6" s="2"/>
      <c r="O6" s="2"/>
      <c r="P6" s="2"/>
      <c r="Q6" s="2"/>
    </row>
    <row r="7" spans="3:17" ht="20.100000000000001" customHeight="1" x14ac:dyDescent="0.25">
      <c r="D7" s="3">
        <v>1</v>
      </c>
      <c r="E7" s="85" t="s">
        <v>159</v>
      </c>
      <c r="F7" s="4" t="s">
        <v>79</v>
      </c>
      <c r="G7" s="5"/>
      <c r="H7" s="87">
        <f>'AB AHAD MIR-OLD'!J3</f>
        <v>192206</v>
      </c>
      <c r="I7" s="19"/>
    </row>
    <row r="8" spans="3:17" ht="20.100000000000001" customHeight="1" x14ac:dyDescent="0.25">
      <c r="D8" s="6">
        <v>2</v>
      </c>
      <c r="E8" s="78" t="s">
        <v>101</v>
      </c>
      <c r="F8" s="8" t="s">
        <v>79</v>
      </c>
      <c r="G8" s="9"/>
      <c r="H8" s="87"/>
      <c r="I8" s="20"/>
    </row>
    <row r="9" spans="3:17" ht="20.100000000000001" customHeight="1" x14ac:dyDescent="0.25">
      <c r="D9" s="6">
        <v>3</v>
      </c>
      <c r="E9" s="78" t="s">
        <v>80</v>
      </c>
      <c r="F9" s="8" t="s">
        <v>115</v>
      </c>
      <c r="G9" s="9"/>
      <c r="H9" s="87"/>
      <c r="I9" s="20"/>
    </row>
    <row r="10" spans="3:17" ht="20.100000000000001" customHeight="1" x14ac:dyDescent="0.25">
      <c r="D10" s="6">
        <v>4</v>
      </c>
      <c r="E10" s="7" t="s">
        <v>90</v>
      </c>
      <c r="F10" s="8" t="s">
        <v>124</v>
      </c>
      <c r="G10" s="9"/>
      <c r="H10" s="87"/>
      <c r="I10" s="20"/>
    </row>
    <row r="11" spans="3:17" ht="20.100000000000001" customHeight="1" x14ac:dyDescent="0.25">
      <c r="D11" s="6">
        <v>5</v>
      </c>
      <c r="E11" s="7" t="s">
        <v>87</v>
      </c>
      <c r="F11" s="8" t="s">
        <v>121</v>
      </c>
      <c r="G11" s="9"/>
      <c r="H11" s="87"/>
      <c r="I11" s="20"/>
    </row>
    <row r="12" spans="3:17" ht="20.100000000000001" customHeight="1" x14ac:dyDescent="0.25">
      <c r="D12" s="6">
        <v>6</v>
      </c>
      <c r="E12" s="7" t="s">
        <v>103</v>
      </c>
      <c r="F12" s="8" t="s">
        <v>151</v>
      </c>
      <c r="G12" s="9"/>
      <c r="H12" s="87"/>
      <c r="I12" s="20"/>
    </row>
    <row r="13" spans="3:17" ht="20.100000000000001" customHeight="1" x14ac:dyDescent="0.25">
      <c r="C13" s="80"/>
      <c r="D13" s="36">
        <v>7</v>
      </c>
      <c r="E13" s="7" t="s">
        <v>104</v>
      </c>
      <c r="F13" s="8" t="s">
        <v>105</v>
      </c>
      <c r="G13" s="9"/>
      <c r="H13" s="87"/>
      <c r="I13" s="20"/>
      <c r="O13" s="1" t="s">
        <v>170</v>
      </c>
    </row>
    <row r="14" spans="3:17" ht="20.100000000000001" customHeight="1" x14ac:dyDescent="0.25">
      <c r="D14" s="6">
        <v>8</v>
      </c>
      <c r="E14" s="7" t="s">
        <v>89</v>
      </c>
      <c r="F14" s="8" t="s">
        <v>123</v>
      </c>
      <c r="G14" s="9"/>
      <c r="H14" s="87"/>
      <c r="I14" s="20"/>
      <c r="O14" s="1" t="s">
        <v>171</v>
      </c>
    </row>
    <row r="15" spans="3:17" ht="20.100000000000001" customHeight="1" x14ac:dyDescent="0.25">
      <c r="D15" s="6">
        <v>9</v>
      </c>
      <c r="E15" s="7" t="s">
        <v>2</v>
      </c>
      <c r="F15" s="8" t="s">
        <v>107</v>
      </c>
      <c r="G15" s="9"/>
      <c r="H15" s="87"/>
      <c r="I15" s="20"/>
    </row>
    <row r="16" spans="3:17" ht="20.100000000000001" customHeight="1" x14ac:dyDescent="0.25">
      <c r="D16" s="6">
        <v>10</v>
      </c>
      <c r="E16" s="7" t="s">
        <v>15</v>
      </c>
      <c r="F16" s="8" t="s">
        <v>125</v>
      </c>
      <c r="G16" s="9"/>
      <c r="H16" s="88"/>
      <c r="I16" s="20"/>
    </row>
    <row r="17" spans="4:15" ht="20.100000000000001" customHeight="1" x14ac:dyDescent="0.25">
      <c r="D17" s="6">
        <v>11</v>
      </c>
      <c r="E17" s="7" t="s">
        <v>81</v>
      </c>
      <c r="F17" s="8" t="s">
        <v>116</v>
      </c>
      <c r="G17" s="9"/>
      <c r="H17" s="88"/>
      <c r="I17" s="20"/>
    </row>
    <row r="18" spans="4:15" ht="20.100000000000001" customHeight="1" x14ac:dyDescent="0.25">
      <c r="D18" s="6">
        <v>12</v>
      </c>
      <c r="E18" s="7" t="s">
        <v>92</v>
      </c>
      <c r="F18" s="8" t="s">
        <v>125</v>
      </c>
      <c r="G18" s="9"/>
      <c r="H18" s="88"/>
      <c r="I18" s="20"/>
      <c r="O18" s="1" t="s">
        <v>175</v>
      </c>
    </row>
    <row r="19" spans="4:15" ht="20.100000000000001" customHeight="1" x14ac:dyDescent="0.25">
      <c r="D19" s="6">
        <v>13</v>
      </c>
      <c r="E19" s="7" t="s">
        <v>98</v>
      </c>
      <c r="F19" s="8" t="s">
        <v>147</v>
      </c>
      <c r="G19" s="9"/>
      <c r="H19" s="88"/>
      <c r="I19" s="20"/>
      <c r="O19" s="1" t="s">
        <v>176</v>
      </c>
    </row>
    <row r="20" spans="4:15" ht="20.100000000000001" customHeight="1" x14ac:dyDescent="0.25">
      <c r="D20" s="6">
        <v>14</v>
      </c>
      <c r="E20" s="10" t="s">
        <v>91</v>
      </c>
      <c r="F20" s="8" t="s">
        <v>121</v>
      </c>
      <c r="G20" s="9"/>
      <c r="H20" s="88"/>
      <c r="I20" s="20"/>
    </row>
    <row r="21" spans="4:15" ht="20.100000000000001" customHeight="1" x14ac:dyDescent="0.25">
      <c r="D21" s="6"/>
      <c r="E21" s="7" t="s">
        <v>88</v>
      </c>
      <c r="F21" s="8" t="s">
        <v>106</v>
      </c>
      <c r="G21" s="9"/>
      <c r="H21" s="88"/>
      <c r="I21" s="20"/>
    </row>
    <row r="22" spans="4:15" ht="20.100000000000001" customHeight="1" x14ac:dyDescent="0.25">
      <c r="D22" s="6"/>
      <c r="E22" s="7" t="s">
        <v>88</v>
      </c>
      <c r="F22" s="8" t="s">
        <v>122</v>
      </c>
      <c r="G22" s="9"/>
      <c r="H22" s="88"/>
      <c r="I22" s="20"/>
    </row>
    <row r="23" spans="4:15" ht="20.100000000000001" customHeight="1" x14ac:dyDescent="0.25">
      <c r="D23" s="6"/>
      <c r="E23" s="7" t="s">
        <v>83</v>
      </c>
      <c r="F23" s="8" t="s">
        <v>115</v>
      </c>
      <c r="G23" s="9"/>
      <c r="H23" s="88"/>
      <c r="I23" s="20"/>
    </row>
    <row r="24" spans="4:15" ht="20.100000000000001" customHeight="1" x14ac:dyDescent="0.25">
      <c r="D24" s="6"/>
      <c r="E24" s="7" t="s">
        <v>84</v>
      </c>
      <c r="F24" s="8" t="s">
        <v>118</v>
      </c>
      <c r="G24" s="9"/>
      <c r="H24" s="88"/>
      <c r="I24" s="20"/>
    </row>
    <row r="25" spans="4:15" ht="20.100000000000001" customHeight="1" x14ac:dyDescent="0.25">
      <c r="D25" s="6"/>
      <c r="E25" s="7" t="s">
        <v>82</v>
      </c>
      <c r="F25" s="8" t="s">
        <v>117</v>
      </c>
      <c r="G25" s="9"/>
      <c r="H25" s="88"/>
      <c r="I25" s="21"/>
    </row>
    <row r="26" spans="4:15" ht="20.100000000000001" customHeight="1" x14ac:dyDescent="0.25">
      <c r="D26" s="6"/>
      <c r="E26" s="7" t="s">
        <v>85</v>
      </c>
      <c r="F26" s="8" t="s">
        <v>119</v>
      </c>
      <c r="G26" s="9"/>
      <c r="H26" s="88"/>
      <c r="I26" s="21"/>
    </row>
    <row r="27" spans="4:15" ht="20.100000000000001" customHeight="1" x14ac:dyDescent="0.25">
      <c r="D27" s="6"/>
      <c r="E27" s="7" t="s">
        <v>86</v>
      </c>
      <c r="F27" s="8" t="s">
        <v>120</v>
      </c>
      <c r="G27" s="9"/>
      <c r="H27" s="88"/>
      <c r="I27" s="21"/>
    </row>
    <row r="28" spans="4:15" ht="20.100000000000001" customHeight="1" x14ac:dyDescent="0.25">
      <c r="D28" s="6"/>
      <c r="E28" s="7" t="s">
        <v>93</v>
      </c>
      <c r="F28" s="8" t="s">
        <v>157</v>
      </c>
      <c r="G28" s="9"/>
      <c r="H28" s="88"/>
      <c r="I28" s="21"/>
    </row>
    <row r="29" spans="4:15" ht="20.100000000000001" customHeight="1" x14ac:dyDescent="0.25">
      <c r="D29" s="6"/>
      <c r="E29" s="7" t="s">
        <v>95</v>
      </c>
      <c r="F29" s="8" t="s">
        <v>121</v>
      </c>
      <c r="G29" s="9"/>
      <c r="H29" s="88"/>
      <c r="I29" s="21"/>
    </row>
    <row r="30" spans="4:15" ht="20.100000000000001" customHeight="1" x14ac:dyDescent="0.25">
      <c r="D30" s="6"/>
      <c r="E30" s="7" t="s">
        <v>99</v>
      </c>
      <c r="F30" s="8" t="s">
        <v>147</v>
      </c>
      <c r="G30" s="9"/>
      <c r="H30" s="88"/>
      <c r="I30" s="21"/>
    </row>
    <row r="31" spans="4:15" ht="20.100000000000001" customHeight="1" x14ac:dyDescent="0.25">
      <c r="D31" s="6"/>
      <c r="E31" s="7" t="s">
        <v>94</v>
      </c>
      <c r="F31" s="8" t="s">
        <v>115</v>
      </c>
      <c r="G31" s="9"/>
      <c r="H31" s="88"/>
      <c r="I31" s="21"/>
    </row>
    <row r="32" spans="4:15" ht="20.100000000000001" customHeight="1" x14ac:dyDescent="0.25">
      <c r="D32" s="6"/>
      <c r="E32" s="7" t="s">
        <v>102</v>
      </c>
      <c r="F32" s="8" t="s">
        <v>150</v>
      </c>
      <c r="G32" s="9"/>
      <c r="H32" s="88"/>
      <c r="I32" s="21"/>
    </row>
    <row r="33" spans="4:9" ht="20.100000000000001" customHeight="1" x14ac:dyDescent="0.25">
      <c r="D33" s="6"/>
      <c r="E33" s="7" t="s">
        <v>96</v>
      </c>
      <c r="F33" s="8" t="s">
        <v>127</v>
      </c>
      <c r="G33" s="9"/>
      <c r="H33" s="88"/>
      <c r="I33" s="21"/>
    </row>
    <row r="34" spans="4:9" ht="20.100000000000001" customHeight="1" x14ac:dyDescent="0.25">
      <c r="D34" s="6"/>
      <c r="E34" s="7" t="s">
        <v>154</v>
      </c>
      <c r="F34" s="8" t="s">
        <v>126</v>
      </c>
      <c r="G34" s="9"/>
      <c r="H34" s="88"/>
      <c r="I34" s="21"/>
    </row>
    <row r="35" spans="4:9" ht="20.100000000000001" customHeight="1" x14ac:dyDescent="0.25">
      <c r="D35" s="6"/>
      <c r="E35" s="7" t="s">
        <v>153</v>
      </c>
      <c r="F35" s="8" t="s">
        <v>112</v>
      </c>
      <c r="G35" s="9"/>
      <c r="H35" s="88"/>
      <c r="I35" s="21"/>
    </row>
    <row r="36" spans="4:9" ht="20.100000000000001" customHeight="1" x14ac:dyDescent="0.25">
      <c r="D36" s="6"/>
      <c r="E36" s="7" t="s">
        <v>155</v>
      </c>
      <c r="F36" s="8" t="s">
        <v>128</v>
      </c>
      <c r="G36" s="9"/>
      <c r="H36" s="88"/>
      <c r="I36" s="21"/>
    </row>
    <row r="37" spans="4:9" ht="20.100000000000001" customHeight="1" x14ac:dyDescent="0.25">
      <c r="D37" s="6"/>
      <c r="E37" s="7" t="s">
        <v>100</v>
      </c>
      <c r="F37" s="8" t="s">
        <v>147</v>
      </c>
      <c r="G37" s="9"/>
      <c r="H37" s="88"/>
      <c r="I37" s="21"/>
    </row>
    <row r="38" spans="4:9" ht="20.100000000000001" customHeight="1" x14ac:dyDescent="0.25">
      <c r="D38" s="6"/>
      <c r="E38" s="7" t="s">
        <v>97</v>
      </c>
      <c r="F38" s="8" t="s">
        <v>130</v>
      </c>
      <c r="G38" s="9"/>
      <c r="H38" s="88"/>
      <c r="I38" s="21"/>
    </row>
    <row r="39" spans="4:9" ht="20.100000000000001" customHeight="1" x14ac:dyDescent="0.25">
      <c r="D39" s="6"/>
      <c r="E39" s="7" t="s">
        <v>7</v>
      </c>
      <c r="F39" s="8" t="s">
        <v>111</v>
      </c>
      <c r="G39" s="9"/>
      <c r="H39" s="88"/>
      <c r="I39" s="21"/>
    </row>
    <row r="40" spans="4:9" ht="20.100000000000001" customHeight="1" x14ac:dyDescent="0.25">
      <c r="D40" s="6"/>
      <c r="E40" s="7" t="s">
        <v>76</v>
      </c>
      <c r="F40" s="8" t="s">
        <v>149</v>
      </c>
      <c r="G40" s="9"/>
      <c r="H40" s="88"/>
      <c r="I40" s="21"/>
    </row>
    <row r="41" spans="4:9" ht="20.100000000000001" customHeight="1" x14ac:dyDescent="0.25">
      <c r="D41" s="6"/>
      <c r="E41" s="7" t="s">
        <v>4</v>
      </c>
      <c r="F41" s="8" t="s">
        <v>106</v>
      </c>
      <c r="G41" s="9"/>
      <c r="H41" s="88"/>
      <c r="I41" s="21"/>
    </row>
    <row r="42" spans="4:9" ht="20.100000000000001" customHeight="1" x14ac:dyDescent="0.25">
      <c r="D42" s="6"/>
      <c r="E42" s="7" t="s">
        <v>3</v>
      </c>
      <c r="F42" s="8" t="s">
        <v>108</v>
      </c>
      <c r="G42" s="9"/>
      <c r="H42" s="88"/>
      <c r="I42" s="21"/>
    </row>
    <row r="43" spans="4:9" ht="20.100000000000001" customHeight="1" x14ac:dyDescent="0.25">
      <c r="D43" s="6"/>
      <c r="E43" s="7" t="s">
        <v>19</v>
      </c>
      <c r="F43" s="8" t="s">
        <v>115</v>
      </c>
      <c r="G43" s="9"/>
      <c r="H43" s="88"/>
      <c r="I43" s="21"/>
    </row>
    <row r="44" spans="4:9" ht="20.100000000000001" customHeight="1" x14ac:dyDescent="0.25">
      <c r="D44" s="6"/>
      <c r="E44" s="7" t="s">
        <v>6</v>
      </c>
      <c r="F44" s="8" t="s">
        <v>110</v>
      </c>
      <c r="G44" s="9"/>
      <c r="H44" s="88"/>
      <c r="I44" s="21"/>
    </row>
    <row r="45" spans="4:9" ht="20.100000000000001" customHeight="1" x14ac:dyDescent="0.25">
      <c r="D45" s="6"/>
      <c r="E45" s="7" t="s">
        <v>20</v>
      </c>
      <c r="F45" s="8" t="s">
        <v>121</v>
      </c>
      <c r="G45" s="9"/>
      <c r="H45" s="88"/>
      <c r="I45" s="21"/>
    </row>
    <row r="46" spans="4:9" ht="20.100000000000001" customHeight="1" x14ac:dyDescent="0.25">
      <c r="D46" s="6"/>
      <c r="E46" s="7" t="s">
        <v>17</v>
      </c>
      <c r="F46" s="8" t="s">
        <v>120</v>
      </c>
      <c r="G46" s="9"/>
      <c r="H46" s="88"/>
      <c r="I46" s="21"/>
    </row>
    <row r="47" spans="4:9" ht="20.100000000000001" customHeight="1" x14ac:dyDescent="0.25">
      <c r="D47" s="6"/>
      <c r="E47" s="7" t="s">
        <v>8</v>
      </c>
      <c r="F47" s="8" t="s">
        <v>112</v>
      </c>
      <c r="G47" s="9"/>
      <c r="H47" s="88"/>
      <c r="I47" s="21"/>
    </row>
    <row r="48" spans="4:9" ht="20.100000000000001" customHeight="1" x14ac:dyDescent="0.25">
      <c r="D48" s="6"/>
      <c r="E48" s="7" t="s">
        <v>16</v>
      </c>
      <c r="F48" s="8" t="s">
        <v>129</v>
      </c>
      <c r="G48" s="9"/>
      <c r="H48" s="88"/>
      <c r="I48" s="21"/>
    </row>
    <row r="49" spans="4:9" ht="20.100000000000001" customHeight="1" x14ac:dyDescent="0.25">
      <c r="D49" s="6"/>
      <c r="E49" s="7" t="s">
        <v>5</v>
      </c>
      <c r="F49" s="8" t="s">
        <v>109</v>
      </c>
      <c r="G49" s="9"/>
      <c r="H49" s="88"/>
      <c r="I49" s="21"/>
    </row>
    <row r="50" spans="4:9" ht="20.100000000000001" customHeight="1" x14ac:dyDescent="0.25">
      <c r="D50" s="6"/>
      <c r="E50" s="7" t="s">
        <v>70</v>
      </c>
      <c r="F50" s="8" t="s">
        <v>148</v>
      </c>
      <c r="G50" s="9"/>
      <c r="H50" s="88"/>
      <c r="I50" s="21"/>
    </row>
    <row r="51" spans="4:9" ht="20.100000000000001" customHeight="1" x14ac:dyDescent="0.25">
      <c r="D51" s="6"/>
      <c r="E51" s="7" t="s">
        <v>21</v>
      </c>
      <c r="F51" s="8" t="s">
        <v>111</v>
      </c>
      <c r="G51" s="9"/>
      <c r="H51" s="88"/>
      <c r="I51" s="21"/>
    </row>
    <row r="52" spans="4:9" ht="20.100000000000001" customHeight="1" x14ac:dyDescent="0.25">
      <c r="D52" s="6"/>
      <c r="E52" s="7" t="s">
        <v>18</v>
      </c>
      <c r="F52" s="8" t="s">
        <v>115</v>
      </c>
      <c r="G52" s="9"/>
      <c r="H52" s="88"/>
      <c r="I52" s="21"/>
    </row>
    <row r="53" spans="4:9" ht="20.100000000000001" customHeight="1" x14ac:dyDescent="0.25">
      <c r="D53" s="6"/>
      <c r="E53" s="7" t="s">
        <v>22</v>
      </c>
      <c r="F53" s="8" t="s">
        <v>115</v>
      </c>
      <c r="G53" s="9"/>
      <c r="H53" s="88"/>
      <c r="I53" s="21"/>
    </row>
    <row r="54" spans="4:9" ht="20.100000000000001" customHeight="1" x14ac:dyDescent="0.25">
      <c r="D54" s="6"/>
      <c r="E54" s="7" t="s">
        <v>14</v>
      </c>
      <c r="F54" s="8" t="s">
        <v>115</v>
      </c>
      <c r="G54" s="9"/>
      <c r="H54" s="88"/>
      <c r="I54" s="21"/>
    </row>
    <row r="55" spans="4:9" ht="20.100000000000001" customHeight="1" x14ac:dyDescent="0.25">
      <c r="D55" s="6"/>
      <c r="E55" s="7" t="s">
        <v>26</v>
      </c>
      <c r="F55" s="8" t="s">
        <v>131</v>
      </c>
      <c r="G55" s="9"/>
      <c r="H55" s="88"/>
      <c r="I55" s="21"/>
    </row>
    <row r="56" spans="4:9" ht="20.100000000000001" customHeight="1" x14ac:dyDescent="0.25">
      <c r="D56" s="6"/>
      <c r="E56" s="7" t="s">
        <v>68</v>
      </c>
      <c r="F56" s="8" t="s">
        <v>147</v>
      </c>
      <c r="G56" s="9"/>
      <c r="H56" s="88"/>
      <c r="I56" s="21"/>
    </row>
    <row r="57" spans="4:9" ht="20.100000000000001" customHeight="1" x14ac:dyDescent="0.25">
      <c r="D57" s="6"/>
      <c r="E57" s="7" t="s">
        <v>25</v>
      </c>
      <c r="F57" s="8" t="s">
        <v>115</v>
      </c>
      <c r="G57" s="9"/>
      <c r="H57" s="88"/>
      <c r="I57" s="21"/>
    </row>
    <row r="58" spans="4:9" ht="20.100000000000001" customHeight="1" x14ac:dyDescent="0.25">
      <c r="D58" s="6"/>
      <c r="E58" s="7" t="s">
        <v>23</v>
      </c>
      <c r="F58" s="8" t="s">
        <v>115</v>
      </c>
      <c r="G58" s="9"/>
      <c r="H58" s="88"/>
      <c r="I58" s="21"/>
    </row>
    <row r="59" spans="4:9" ht="20.100000000000001" customHeight="1" x14ac:dyDescent="0.25">
      <c r="D59" s="6"/>
      <c r="E59" s="7" t="s">
        <v>28</v>
      </c>
      <c r="F59" s="8" t="s">
        <v>132</v>
      </c>
      <c r="G59" s="9"/>
      <c r="H59" s="88"/>
      <c r="I59" s="21"/>
    </row>
    <row r="60" spans="4:9" ht="20.100000000000001" customHeight="1" x14ac:dyDescent="0.25">
      <c r="D60" s="6"/>
      <c r="E60" s="7" t="s">
        <v>27</v>
      </c>
      <c r="F60" s="8" t="s">
        <v>115</v>
      </c>
      <c r="G60" s="9"/>
      <c r="H60" s="88"/>
      <c r="I60" s="21"/>
    </row>
    <row r="61" spans="4:9" ht="20.100000000000001" customHeight="1" x14ac:dyDescent="0.25">
      <c r="D61" s="6"/>
      <c r="E61" s="7" t="s">
        <v>9</v>
      </c>
      <c r="F61" s="8" t="s">
        <v>106</v>
      </c>
      <c r="G61" s="9"/>
      <c r="H61" s="88"/>
      <c r="I61" s="21"/>
    </row>
    <row r="62" spans="4:9" ht="20.100000000000001" customHeight="1" x14ac:dyDescent="0.25">
      <c r="D62" s="6"/>
      <c r="E62" s="7" t="s">
        <v>69</v>
      </c>
      <c r="F62" s="8" t="s">
        <v>147</v>
      </c>
      <c r="G62" s="9"/>
      <c r="H62" s="88"/>
      <c r="I62" s="21"/>
    </row>
    <row r="63" spans="4:9" ht="20.100000000000001" customHeight="1" x14ac:dyDescent="0.25">
      <c r="D63" s="6"/>
      <c r="E63" s="7" t="s">
        <v>10</v>
      </c>
      <c r="F63" s="12" t="s">
        <v>107</v>
      </c>
      <c r="G63" s="9"/>
      <c r="H63" s="88"/>
      <c r="I63" s="21"/>
    </row>
    <row r="64" spans="4:9" ht="20.100000000000001" customHeight="1" x14ac:dyDescent="0.25">
      <c r="D64" s="6"/>
      <c r="E64" s="7" t="s">
        <v>29</v>
      </c>
      <c r="F64" s="8" t="s">
        <v>133</v>
      </c>
      <c r="G64" s="9"/>
      <c r="H64" s="88"/>
      <c r="I64" s="21"/>
    </row>
    <row r="65" spans="4:9" ht="20.100000000000001" customHeight="1" x14ac:dyDescent="0.25">
      <c r="D65" s="6"/>
      <c r="E65" s="7" t="s">
        <v>30</v>
      </c>
      <c r="F65" s="8" t="s">
        <v>115</v>
      </c>
      <c r="G65" s="9"/>
      <c r="H65" s="88"/>
      <c r="I65" s="21"/>
    </row>
    <row r="66" spans="4:9" ht="20.100000000000001" customHeight="1" x14ac:dyDescent="0.25">
      <c r="D66" s="6"/>
      <c r="E66" s="7" t="s">
        <v>66</v>
      </c>
      <c r="F66" s="8" t="s">
        <v>147</v>
      </c>
      <c r="G66" s="9"/>
      <c r="H66" s="88"/>
      <c r="I66" s="21"/>
    </row>
    <row r="67" spans="4:9" ht="20.100000000000001" customHeight="1" x14ac:dyDescent="0.25">
      <c r="D67" s="6"/>
      <c r="E67" s="7" t="s">
        <v>38</v>
      </c>
      <c r="F67" s="8" t="s">
        <v>115</v>
      </c>
      <c r="G67" s="9"/>
      <c r="H67" s="88"/>
      <c r="I67" s="21"/>
    </row>
    <row r="68" spans="4:9" ht="20.100000000000001" customHeight="1" x14ac:dyDescent="0.25">
      <c r="D68" s="6"/>
      <c r="E68" s="7" t="s">
        <v>39</v>
      </c>
      <c r="F68" s="8" t="s">
        <v>129</v>
      </c>
      <c r="G68" s="9"/>
      <c r="H68" s="88"/>
      <c r="I68" s="21"/>
    </row>
    <row r="69" spans="4:9" ht="20.100000000000001" customHeight="1" x14ac:dyDescent="0.25">
      <c r="D69" s="6"/>
      <c r="E69" s="7" t="s">
        <v>72</v>
      </c>
      <c r="F69" s="8" t="s">
        <v>147</v>
      </c>
      <c r="G69" s="9"/>
      <c r="H69" s="88"/>
      <c r="I69" s="21"/>
    </row>
    <row r="70" spans="4:9" ht="20.100000000000001" customHeight="1" x14ac:dyDescent="0.25">
      <c r="D70" s="6"/>
      <c r="E70" s="7" t="s">
        <v>34</v>
      </c>
      <c r="F70" s="8" t="s">
        <v>115</v>
      </c>
      <c r="G70" s="9"/>
      <c r="H70" s="88"/>
      <c r="I70" s="21"/>
    </row>
    <row r="71" spans="4:9" ht="20.100000000000001" customHeight="1" x14ac:dyDescent="0.25">
      <c r="D71" s="6"/>
      <c r="E71" s="7" t="s">
        <v>40</v>
      </c>
      <c r="F71" s="8" t="s">
        <v>115</v>
      </c>
      <c r="G71" s="9"/>
      <c r="H71" s="88"/>
      <c r="I71" s="21"/>
    </row>
    <row r="72" spans="4:9" ht="20.100000000000001" customHeight="1" x14ac:dyDescent="0.25">
      <c r="D72" s="6"/>
      <c r="E72" s="7" t="s">
        <v>31</v>
      </c>
      <c r="F72" s="8" t="s">
        <v>116</v>
      </c>
      <c r="G72" s="9"/>
      <c r="H72" s="88"/>
      <c r="I72" s="21"/>
    </row>
    <row r="73" spans="4:9" ht="20.100000000000001" customHeight="1" x14ac:dyDescent="0.25">
      <c r="D73" s="6"/>
      <c r="E73" s="7" t="s">
        <v>24</v>
      </c>
      <c r="F73" s="8" t="s">
        <v>115</v>
      </c>
      <c r="G73" s="9"/>
      <c r="H73" s="88"/>
      <c r="I73" s="21"/>
    </row>
    <row r="74" spans="4:9" ht="20.100000000000001" customHeight="1" x14ac:dyDescent="0.25">
      <c r="D74" s="6"/>
      <c r="E74" s="7" t="s">
        <v>63</v>
      </c>
      <c r="F74" s="8" t="s">
        <v>147</v>
      </c>
      <c r="G74" s="9"/>
      <c r="H74" s="88"/>
      <c r="I74" s="21"/>
    </row>
    <row r="75" spans="4:9" ht="20.100000000000001" customHeight="1" x14ac:dyDescent="0.25">
      <c r="D75" s="6"/>
      <c r="E75" s="7" t="s">
        <v>44</v>
      </c>
      <c r="F75" s="8" t="s">
        <v>115</v>
      </c>
      <c r="G75" s="9"/>
      <c r="H75" s="88"/>
      <c r="I75" s="21"/>
    </row>
    <row r="76" spans="4:9" ht="20.100000000000001" customHeight="1" x14ac:dyDescent="0.25">
      <c r="D76" s="6"/>
      <c r="E76" s="7" t="s">
        <v>11</v>
      </c>
      <c r="F76" s="8" t="s">
        <v>113</v>
      </c>
      <c r="G76" s="9"/>
      <c r="H76" s="88"/>
      <c r="I76" s="21"/>
    </row>
    <row r="77" spans="4:9" ht="20.100000000000001" customHeight="1" x14ac:dyDescent="0.25">
      <c r="D77" s="6"/>
      <c r="E77" s="7" t="s">
        <v>32</v>
      </c>
      <c r="F77" s="8" t="s">
        <v>117</v>
      </c>
      <c r="G77" s="9"/>
      <c r="H77" s="88"/>
      <c r="I77" s="21"/>
    </row>
    <row r="78" spans="4:9" ht="20.100000000000001" customHeight="1" x14ac:dyDescent="0.25">
      <c r="D78" s="6"/>
      <c r="E78" s="7" t="s">
        <v>60</v>
      </c>
      <c r="F78" s="8" t="s">
        <v>147</v>
      </c>
      <c r="G78" s="9"/>
      <c r="H78" s="88"/>
      <c r="I78" s="21"/>
    </row>
    <row r="79" spans="4:9" ht="20.100000000000001" customHeight="1" x14ac:dyDescent="0.25">
      <c r="D79" s="6"/>
      <c r="E79" s="7" t="s">
        <v>45</v>
      </c>
      <c r="F79" s="8" t="s">
        <v>139</v>
      </c>
      <c r="G79" s="9"/>
      <c r="H79" s="88"/>
      <c r="I79" s="21"/>
    </row>
    <row r="80" spans="4:9" ht="20.100000000000001" customHeight="1" x14ac:dyDescent="0.25">
      <c r="D80" s="6"/>
      <c r="E80" s="7" t="s">
        <v>33</v>
      </c>
      <c r="F80" s="8" t="s">
        <v>134</v>
      </c>
      <c r="G80" s="9"/>
      <c r="H80" s="88"/>
      <c r="I80" s="21"/>
    </row>
    <row r="81" spans="4:9" ht="20.100000000000001" customHeight="1" x14ac:dyDescent="0.25">
      <c r="D81" s="6"/>
      <c r="E81" s="7" t="s">
        <v>36</v>
      </c>
      <c r="F81" s="8" t="s">
        <v>135</v>
      </c>
      <c r="G81" s="9"/>
      <c r="H81" s="88"/>
      <c r="I81" s="21"/>
    </row>
    <row r="82" spans="4:9" ht="20.100000000000001" customHeight="1" x14ac:dyDescent="0.25">
      <c r="D82" s="6"/>
      <c r="E82" s="7" t="s">
        <v>67</v>
      </c>
      <c r="F82" s="8" t="s">
        <v>147</v>
      </c>
      <c r="G82" s="9"/>
      <c r="H82" s="88"/>
      <c r="I82" s="21"/>
    </row>
    <row r="83" spans="4:9" ht="20.100000000000001" customHeight="1" x14ac:dyDescent="0.25">
      <c r="D83" s="6"/>
      <c r="E83" s="7" t="s">
        <v>35</v>
      </c>
      <c r="F83" s="8" t="s">
        <v>131</v>
      </c>
      <c r="G83" s="9"/>
      <c r="H83" s="88"/>
      <c r="I83" s="21"/>
    </row>
    <row r="84" spans="4:9" ht="20.100000000000001" customHeight="1" x14ac:dyDescent="0.25">
      <c r="D84" s="6"/>
      <c r="E84" s="7" t="s">
        <v>71</v>
      </c>
      <c r="F84" s="8" t="s">
        <v>79</v>
      </c>
      <c r="G84" s="9"/>
      <c r="H84" s="88"/>
      <c r="I84" s="21"/>
    </row>
    <row r="85" spans="4:9" ht="20.100000000000001" customHeight="1" x14ac:dyDescent="0.25">
      <c r="D85" s="6"/>
      <c r="E85" s="7" t="s">
        <v>43</v>
      </c>
      <c r="F85" s="8" t="s">
        <v>138</v>
      </c>
      <c r="G85" s="9"/>
      <c r="H85" s="88"/>
      <c r="I85" s="21"/>
    </row>
    <row r="86" spans="4:9" ht="20.100000000000001" customHeight="1" x14ac:dyDescent="0.25">
      <c r="D86" s="6"/>
      <c r="E86" s="7" t="s">
        <v>42</v>
      </c>
      <c r="F86" s="8" t="s">
        <v>137</v>
      </c>
      <c r="G86" s="9"/>
      <c r="H86" s="88"/>
      <c r="I86" s="21"/>
    </row>
    <row r="87" spans="4:9" ht="20.100000000000001" customHeight="1" x14ac:dyDescent="0.25">
      <c r="D87" s="6"/>
      <c r="E87" s="7" t="s">
        <v>37</v>
      </c>
      <c r="F87" s="8" t="s">
        <v>136</v>
      </c>
      <c r="G87" s="9"/>
      <c r="H87" s="88"/>
      <c r="I87" s="21"/>
    </row>
    <row r="88" spans="4:9" ht="20.100000000000001" customHeight="1" x14ac:dyDescent="0.25">
      <c r="D88" s="6"/>
      <c r="E88" s="7" t="s">
        <v>41</v>
      </c>
      <c r="F88" s="8" t="s">
        <v>115</v>
      </c>
      <c r="G88" s="9"/>
      <c r="H88" s="88"/>
      <c r="I88" s="21"/>
    </row>
    <row r="89" spans="4:9" ht="20.100000000000001" customHeight="1" x14ac:dyDescent="0.25">
      <c r="D89" s="6"/>
      <c r="E89" s="7" t="s">
        <v>77</v>
      </c>
      <c r="F89" s="8" t="s">
        <v>152</v>
      </c>
      <c r="G89" s="9"/>
      <c r="H89" s="88"/>
      <c r="I89" s="21"/>
    </row>
    <row r="90" spans="4:9" ht="20.100000000000001" customHeight="1" x14ac:dyDescent="0.25">
      <c r="D90" s="6"/>
      <c r="E90" s="7" t="s">
        <v>61</v>
      </c>
      <c r="F90" s="8" t="s">
        <v>147</v>
      </c>
      <c r="G90" s="9"/>
      <c r="H90" s="88"/>
      <c r="I90" s="21"/>
    </row>
    <row r="91" spans="4:9" ht="20.100000000000001" customHeight="1" x14ac:dyDescent="0.25">
      <c r="D91" s="6"/>
      <c r="E91" s="7" t="s">
        <v>75</v>
      </c>
      <c r="F91" s="8" t="s">
        <v>149</v>
      </c>
      <c r="G91" s="9"/>
      <c r="H91" s="88"/>
      <c r="I91" s="21"/>
    </row>
    <row r="92" spans="4:9" ht="20.100000000000001" customHeight="1" x14ac:dyDescent="0.25">
      <c r="D92" s="6"/>
      <c r="E92" s="7" t="s">
        <v>78</v>
      </c>
      <c r="F92" s="8" t="s">
        <v>147</v>
      </c>
      <c r="G92" s="9"/>
      <c r="H92" s="88"/>
      <c r="I92" s="21"/>
    </row>
    <row r="93" spans="4:9" ht="20.100000000000001" customHeight="1" x14ac:dyDescent="0.25">
      <c r="D93" s="6"/>
      <c r="E93" s="7" t="s">
        <v>49</v>
      </c>
      <c r="F93" s="8" t="s">
        <v>118</v>
      </c>
      <c r="G93" s="9"/>
      <c r="H93" s="88"/>
      <c r="I93" s="21"/>
    </row>
    <row r="94" spans="4:9" ht="20.100000000000001" customHeight="1" x14ac:dyDescent="0.25">
      <c r="D94" s="6"/>
      <c r="E94" s="7" t="s">
        <v>51</v>
      </c>
      <c r="F94" s="8" t="s">
        <v>142</v>
      </c>
      <c r="G94" s="9"/>
      <c r="H94" s="88"/>
      <c r="I94" s="21"/>
    </row>
    <row r="95" spans="4:9" ht="20.100000000000001" customHeight="1" x14ac:dyDescent="0.25">
      <c r="D95" s="6"/>
      <c r="E95" s="7" t="s">
        <v>13</v>
      </c>
      <c r="F95" s="8" t="s">
        <v>114</v>
      </c>
      <c r="G95" s="9"/>
      <c r="H95" s="88"/>
      <c r="I95" s="21"/>
    </row>
    <row r="96" spans="4:9" ht="20.100000000000001" customHeight="1" x14ac:dyDescent="0.25">
      <c r="D96" s="6"/>
      <c r="E96" s="7" t="s">
        <v>73</v>
      </c>
      <c r="F96" s="8" t="s">
        <v>147</v>
      </c>
      <c r="G96" s="9"/>
      <c r="H96" s="88"/>
      <c r="I96" s="21"/>
    </row>
    <row r="97" spans="4:9" ht="20.100000000000001" customHeight="1" x14ac:dyDescent="0.25">
      <c r="D97" s="6"/>
      <c r="E97" s="7" t="s">
        <v>47</v>
      </c>
      <c r="F97" s="8" t="s">
        <v>127</v>
      </c>
      <c r="G97" s="9"/>
      <c r="H97" s="88"/>
      <c r="I97" s="21"/>
    </row>
    <row r="98" spans="4:9" ht="20.100000000000001" customHeight="1" x14ac:dyDescent="0.25">
      <c r="D98" s="6"/>
      <c r="E98" s="7" t="s">
        <v>50</v>
      </c>
      <c r="F98" s="8" t="s">
        <v>141</v>
      </c>
      <c r="G98" s="9"/>
      <c r="H98" s="88"/>
      <c r="I98" s="21"/>
    </row>
    <row r="99" spans="4:9" ht="20.100000000000001" customHeight="1" x14ac:dyDescent="0.25">
      <c r="D99" s="6"/>
      <c r="E99" s="7" t="s">
        <v>12</v>
      </c>
      <c r="F99" s="8" t="s">
        <v>112</v>
      </c>
      <c r="G99" s="9"/>
      <c r="H99" s="88"/>
      <c r="I99" s="21"/>
    </row>
    <row r="100" spans="4:9" ht="20.100000000000001" customHeight="1" x14ac:dyDescent="0.25">
      <c r="D100" s="6"/>
      <c r="E100" s="7" t="s">
        <v>59</v>
      </c>
      <c r="F100" s="8" t="s">
        <v>146</v>
      </c>
      <c r="G100" s="9"/>
      <c r="H100" s="88"/>
      <c r="I100" s="21"/>
    </row>
    <row r="101" spans="4:9" ht="20.100000000000001" customHeight="1" x14ac:dyDescent="0.25">
      <c r="D101" s="6"/>
      <c r="E101" s="7" t="s">
        <v>46</v>
      </c>
      <c r="F101" s="8" t="s">
        <v>140</v>
      </c>
      <c r="G101" s="9"/>
      <c r="H101" s="88"/>
      <c r="I101" s="21"/>
    </row>
    <row r="102" spans="4:9" ht="20.100000000000001" customHeight="1" x14ac:dyDescent="0.25">
      <c r="D102" s="6"/>
      <c r="E102" s="7" t="s">
        <v>52</v>
      </c>
      <c r="F102" s="8" t="s">
        <v>143</v>
      </c>
      <c r="G102" s="9"/>
      <c r="H102" s="88"/>
      <c r="I102" s="21"/>
    </row>
    <row r="103" spans="4:9" ht="20.100000000000001" customHeight="1" x14ac:dyDescent="0.25">
      <c r="D103" s="6"/>
      <c r="E103" s="7" t="s">
        <v>48</v>
      </c>
      <c r="F103" s="8" t="s">
        <v>115</v>
      </c>
      <c r="G103" s="9"/>
      <c r="H103" s="88"/>
      <c r="I103" s="21"/>
    </row>
    <row r="104" spans="4:9" ht="20.100000000000001" customHeight="1" x14ac:dyDescent="0.25">
      <c r="D104" s="6"/>
      <c r="E104" s="7" t="s">
        <v>62</v>
      </c>
      <c r="F104" s="8" t="s">
        <v>147</v>
      </c>
      <c r="G104" s="9"/>
      <c r="H104" s="88"/>
      <c r="I104" s="21"/>
    </row>
    <row r="105" spans="4:9" ht="20.100000000000001" customHeight="1" x14ac:dyDescent="0.25">
      <c r="D105" s="6"/>
      <c r="E105" s="7" t="s">
        <v>54</v>
      </c>
      <c r="F105" s="8" t="s">
        <v>134</v>
      </c>
      <c r="G105" s="9"/>
      <c r="H105" s="88"/>
      <c r="I105" s="21"/>
    </row>
    <row r="106" spans="4:9" ht="20.100000000000001" customHeight="1" x14ac:dyDescent="0.25">
      <c r="D106" s="6"/>
      <c r="E106" s="7" t="s">
        <v>53</v>
      </c>
      <c r="F106" s="8" t="s">
        <v>115</v>
      </c>
      <c r="G106" s="9"/>
      <c r="H106" s="88"/>
      <c r="I106" s="21"/>
    </row>
    <row r="107" spans="4:9" ht="20.100000000000001" customHeight="1" x14ac:dyDescent="0.25">
      <c r="D107" s="6"/>
      <c r="E107" s="7" t="s">
        <v>64</v>
      </c>
      <c r="F107" s="8" t="s">
        <v>147</v>
      </c>
      <c r="G107" s="9"/>
      <c r="H107" s="88"/>
      <c r="I107" s="21"/>
    </row>
    <row r="108" spans="4:9" ht="20.100000000000001" customHeight="1" x14ac:dyDescent="0.25">
      <c r="D108" s="6"/>
      <c r="E108" s="7" t="s">
        <v>55</v>
      </c>
      <c r="F108" s="8" t="s">
        <v>126</v>
      </c>
      <c r="G108" s="9"/>
      <c r="H108" s="88"/>
      <c r="I108" s="21"/>
    </row>
    <row r="109" spans="4:9" ht="20.100000000000001" customHeight="1" x14ac:dyDescent="0.25">
      <c r="D109" s="6"/>
      <c r="E109" s="7" t="s">
        <v>74</v>
      </c>
      <c r="F109" s="8" t="s">
        <v>149</v>
      </c>
      <c r="G109" s="9"/>
      <c r="H109" s="88"/>
      <c r="I109" s="21"/>
    </row>
    <row r="110" spans="4:9" ht="20.100000000000001" customHeight="1" x14ac:dyDescent="0.25">
      <c r="D110" s="6"/>
      <c r="E110" s="7" t="s">
        <v>56</v>
      </c>
      <c r="F110" s="8" t="s">
        <v>144</v>
      </c>
      <c r="G110" s="9"/>
      <c r="H110" s="88"/>
      <c r="I110" s="21"/>
    </row>
    <row r="111" spans="4:9" ht="20.100000000000001" customHeight="1" x14ac:dyDescent="0.25">
      <c r="D111" s="6"/>
      <c r="E111" s="7" t="s">
        <v>58</v>
      </c>
      <c r="F111" s="8" t="s">
        <v>124</v>
      </c>
      <c r="G111" s="9"/>
      <c r="H111" s="88"/>
      <c r="I111" s="21"/>
    </row>
    <row r="112" spans="4:9" ht="20.100000000000001" customHeight="1" x14ac:dyDescent="0.25">
      <c r="D112" s="6"/>
      <c r="E112" s="7" t="s">
        <v>57</v>
      </c>
      <c r="F112" s="8" t="s">
        <v>145</v>
      </c>
      <c r="G112" s="9"/>
      <c r="H112" s="88"/>
      <c r="I112" s="21"/>
    </row>
    <row r="113" spans="4:9" ht="20.100000000000001" customHeight="1" x14ac:dyDescent="0.25">
      <c r="D113" s="6"/>
      <c r="E113" s="7" t="s">
        <v>65</v>
      </c>
      <c r="F113" s="8" t="s">
        <v>147</v>
      </c>
      <c r="G113" s="9"/>
      <c r="H113" s="88"/>
      <c r="I113" s="21"/>
    </row>
    <row r="114" spans="4:9" ht="20.100000000000001" customHeight="1" x14ac:dyDescent="0.25">
      <c r="D114" s="6"/>
      <c r="E114" s="13"/>
      <c r="F114" s="13"/>
      <c r="G114" s="9"/>
      <c r="H114" s="88"/>
      <c r="I114" s="21"/>
    </row>
    <row r="115" spans="4:9" ht="20.100000000000001" customHeight="1" x14ac:dyDescent="0.25">
      <c r="D115" s="6"/>
      <c r="E115" s="13"/>
      <c r="F115" s="13"/>
      <c r="G115" s="9"/>
      <c r="H115" s="88"/>
      <c r="I115" s="21"/>
    </row>
    <row r="116" spans="4:9" ht="20.100000000000001" customHeight="1" x14ac:dyDescent="0.25">
      <c r="D116" s="6"/>
      <c r="E116" s="13"/>
      <c r="F116" s="13"/>
      <c r="G116" s="9"/>
      <c r="H116" s="88"/>
      <c r="I116" s="21"/>
    </row>
    <row r="117" spans="4:9" ht="20.100000000000001" customHeight="1" x14ac:dyDescent="0.25">
      <c r="D117" s="6"/>
      <c r="E117" s="13"/>
      <c r="F117" s="13"/>
      <c r="G117" s="9"/>
      <c r="H117" s="88"/>
      <c r="I117" s="21"/>
    </row>
    <row r="118" spans="4:9" ht="20.100000000000001" customHeight="1" x14ac:dyDescent="0.25">
      <c r="D118" s="6"/>
      <c r="E118" s="13"/>
      <c r="F118" s="13"/>
      <c r="G118" s="9"/>
      <c r="H118" s="88"/>
      <c r="I118" s="21"/>
    </row>
    <row r="119" spans="4:9" ht="20.100000000000001" customHeight="1" x14ac:dyDescent="0.25">
      <c r="D119" s="6"/>
      <c r="E119" s="13"/>
      <c r="F119" s="13"/>
      <c r="G119" s="9"/>
      <c r="H119" s="88"/>
      <c r="I119" s="21"/>
    </row>
    <row r="120" spans="4:9" ht="20.100000000000001" customHeight="1" x14ac:dyDescent="0.25">
      <c r="D120" s="6"/>
      <c r="E120" s="13"/>
      <c r="F120" s="13"/>
      <c r="G120" s="9"/>
      <c r="H120" s="88"/>
      <c r="I120" s="21"/>
    </row>
    <row r="121" spans="4:9" ht="20.100000000000001" customHeight="1" x14ac:dyDescent="0.25">
      <c r="D121" s="6"/>
      <c r="E121" s="13"/>
      <c r="F121" s="13"/>
      <c r="G121" s="9"/>
      <c r="H121" s="88"/>
      <c r="I121" s="21"/>
    </row>
    <row r="122" spans="4:9" ht="20.100000000000001" customHeight="1" x14ac:dyDescent="0.25">
      <c r="D122" s="6"/>
      <c r="E122" s="13"/>
      <c r="F122" s="13"/>
      <c r="G122" s="9"/>
      <c r="H122" s="88"/>
      <c r="I122" s="21"/>
    </row>
    <row r="123" spans="4:9" ht="20.100000000000001" customHeight="1" x14ac:dyDescent="0.25">
      <c r="D123" s="6"/>
      <c r="E123" s="13"/>
      <c r="F123" s="13"/>
      <c r="G123" s="9"/>
      <c r="H123" s="88"/>
      <c r="I123" s="21"/>
    </row>
    <row r="124" spans="4:9" ht="20.100000000000001" customHeight="1" x14ac:dyDescent="0.25">
      <c r="D124" s="6"/>
      <c r="E124" s="13"/>
      <c r="F124" s="13"/>
      <c r="G124" s="9"/>
      <c r="H124" s="88"/>
      <c r="I124" s="21"/>
    </row>
    <row r="125" spans="4:9" ht="20.100000000000001" customHeight="1" x14ac:dyDescent="0.25">
      <c r="D125" s="6"/>
      <c r="E125" s="13"/>
      <c r="F125" s="13"/>
      <c r="G125" s="9"/>
      <c r="H125" s="88"/>
      <c r="I125" s="21"/>
    </row>
    <row r="126" spans="4:9" ht="20.100000000000001" customHeight="1" x14ac:dyDescent="0.25">
      <c r="D126" s="6"/>
      <c r="E126" s="13"/>
      <c r="F126" s="13"/>
      <c r="G126" s="9"/>
      <c r="H126" s="88"/>
      <c r="I126" s="21"/>
    </row>
    <row r="127" spans="4:9" ht="20.100000000000001" customHeight="1" x14ac:dyDescent="0.25">
      <c r="D127" s="6"/>
      <c r="E127" s="13"/>
      <c r="F127" s="13"/>
      <c r="G127" s="9"/>
      <c r="H127" s="88"/>
      <c r="I127" s="21"/>
    </row>
    <row r="128" spans="4:9" ht="20.100000000000001" customHeight="1" x14ac:dyDescent="0.25">
      <c r="D128" s="6"/>
      <c r="E128" s="13"/>
      <c r="F128" s="13"/>
      <c r="G128" s="9"/>
      <c r="H128" s="88"/>
      <c r="I128" s="21"/>
    </row>
    <row r="129" spans="4:9" ht="20.100000000000001" customHeight="1" x14ac:dyDescent="0.25">
      <c r="D129" s="6"/>
      <c r="E129" s="13"/>
      <c r="F129" s="13"/>
      <c r="G129" s="9"/>
      <c r="H129" s="88"/>
      <c r="I129" s="21"/>
    </row>
    <row r="130" spans="4:9" ht="20.100000000000001" customHeight="1" x14ac:dyDescent="0.25">
      <c r="D130" s="6"/>
      <c r="E130" s="13"/>
      <c r="F130" s="13"/>
      <c r="G130" s="9"/>
      <c r="H130" s="88"/>
      <c r="I130" s="21"/>
    </row>
    <row r="131" spans="4:9" ht="20.100000000000001" customHeight="1" x14ac:dyDescent="0.25">
      <c r="D131" s="6"/>
      <c r="E131" s="13"/>
      <c r="F131" s="13"/>
      <c r="G131" s="9"/>
      <c r="H131" s="88"/>
      <c r="I131" s="21"/>
    </row>
    <row r="132" spans="4:9" ht="20.100000000000001" customHeight="1" x14ac:dyDescent="0.25">
      <c r="D132" s="6"/>
      <c r="E132" s="13"/>
      <c r="F132" s="13"/>
      <c r="G132" s="9"/>
      <c r="H132" s="88"/>
      <c r="I132" s="21"/>
    </row>
    <row r="133" spans="4:9" ht="20.100000000000001" customHeight="1" x14ac:dyDescent="0.25">
      <c r="D133" s="6"/>
      <c r="E133" s="13"/>
      <c r="F133" s="13"/>
      <c r="G133" s="9"/>
      <c r="H133" s="88"/>
      <c r="I133" s="21"/>
    </row>
    <row r="134" spans="4:9" ht="20.100000000000001" customHeight="1" x14ac:dyDescent="0.25">
      <c r="D134" s="6"/>
      <c r="E134" s="13"/>
      <c r="F134" s="13"/>
      <c r="G134" s="9"/>
      <c r="H134" s="88"/>
      <c r="I134" s="21"/>
    </row>
    <row r="135" spans="4:9" ht="20.100000000000001" customHeight="1" x14ac:dyDescent="0.25">
      <c r="D135" s="6"/>
      <c r="E135" s="13"/>
      <c r="F135" s="13"/>
      <c r="G135" s="9"/>
      <c r="H135" s="88"/>
      <c r="I135" s="21"/>
    </row>
    <row r="136" spans="4:9" ht="20.100000000000001" customHeight="1" x14ac:dyDescent="0.25">
      <c r="D136" s="6"/>
      <c r="E136" s="13"/>
      <c r="F136" s="13"/>
      <c r="G136" s="9"/>
      <c r="H136" s="88"/>
      <c r="I136" s="21"/>
    </row>
    <row r="137" spans="4:9" ht="20.100000000000001" customHeight="1" x14ac:dyDescent="0.25">
      <c r="D137" s="6"/>
      <c r="E137" s="13"/>
      <c r="F137" s="13"/>
      <c r="G137" s="9"/>
      <c r="H137" s="88"/>
      <c r="I137" s="21"/>
    </row>
    <row r="138" spans="4:9" ht="20.100000000000001" customHeight="1" x14ac:dyDescent="0.25">
      <c r="D138" s="6"/>
      <c r="E138" s="13"/>
      <c r="F138" s="13"/>
      <c r="G138" s="9"/>
      <c r="H138" s="88"/>
      <c r="I138" s="21"/>
    </row>
    <row r="139" spans="4:9" ht="20.100000000000001" customHeight="1" x14ac:dyDescent="0.25">
      <c r="D139" s="6"/>
      <c r="E139" s="13"/>
      <c r="F139" s="13"/>
      <c r="G139" s="9"/>
      <c r="H139" s="88"/>
      <c r="I139" s="21"/>
    </row>
    <row r="140" spans="4:9" ht="20.100000000000001" customHeight="1" x14ac:dyDescent="0.25">
      <c r="D140" s="6"/>
      <c r="E140" s="13"/>
      <c r="F140" s="13"/>
      <c r="G140" s="9"/>
      <c r="H140" s="88"/>
      <c r="I140" s="21"/>
    </row>
    <row r="141" spans="4:9" ht="20.100000000000001" customHeight="1" x14ac:dyDescent="0.25">
      <c r="D141" s="6"/>
      <c r="E141" s="13"/>
      <c r="F141" s="13"/>
      <c r="G141" s="9"/>
      <c r="H141" s="88"/>
      <c r="I141" s="21"/>
    </row>
    <row r="142" spans="4:9" ht="20.100000000000001" customHeight="1" x14ac:dyDescent="0.25">
      <c r="D142" s="6"/>
      <c r="E142" s="13"/>
      <c r="F142" s="13"/>
      <c r="G142" s="9"/>
      <c r="H142" s="88"/>
      <c r="I142" s="21"/>
    </row>
    <row r="143" spans="4:9" ht="20.100000000000001" customHeight="1" x14ac:dyDescent="0.25">
      <c r="D143" s="6"/>
      <c r="E143" s="13"/>
      <c r="F143" s="13"/>
      <c r="G143" s="9"/>
      <c r="H143" s="88"/>
      <c r="I143" s="21"/>
    </row>
    <row r="144" spans="4:9" ht="20.100000000000001" customHeight="1" x14ac:dyDescent="0.25">
      <c r="D144" s="6"/>
      <c r="E144" s="13"/>
      <c r="F144" s="13"/>
      <c r="G144" s="9"/>
      <c r="H144" s="88"/>
      <c r="I144" s="21"/>
    </row>
    <row r="145" spans="4:9" ht="20.100000000000001" customHeight="1" x14ac:dyDescent="0.25">
      <c r="D145" s="6"/>
      <c r="E145" s="13"/>
      <c r="F145" s="13"/>
      <c r="G145" s="9"/>
      <c r="H145" s="88"/>
      <c r="I145" s="21"/>
    </row>
    <row r="146" spans="4:9" ht="20.100000000000001" customHeight="1" x14ac:dyDescent="0.25">
      <c r="D146" s="6"/>
      <c r="E146" s="13"/>
      <c r="F146" s="13"/>
      <c r="G146" s="9"/>
      <c r="H146" s="88"/>
      <c r="I146" s="21"/>
    </row>
    <row r="147" spans="4:9" ht="20.100000000000001" customHeight="1" x14ac:dyDescent="0.25">
      <c r="D147" s="6"/>
      <c r="E147" s="13"/>
      <c r="F147" s="13"/>
      <c r="G147" s="9"/>
      <c r="H147" s="88"/>
      <c r="I147" s="21"/>
    </row>
    <row r="148" spans="4:9" ht="20.100000000000001" customHeight="1" x14ac:dyDescent="0.25">
      <c r="D148" s="6"/>
      <c r="E148" s="13"/>
      <c r="F148" s="13"/>
      <c r="G148" s="9"/>
      <c r="H148" s="88"/>
      <c r="I148" s="21"/>
    </row>
    <row r="149" spans="4:9" ht="20.100000000000001" customHeight="1" x14ac:dyDescent="0.25">
      <c r="D149" s="6"/>
      <c r="E149" s="13"/>
      <c r="F149" s="13"/>
      <c r="G149" s="9"/>
      <c r="H149" s="88"/>
      <c r="I149" s="21"/>
    </row>
    <row r="150" spans="4:9" ht="20.100000000000001" customHeight="1" x14ac:dyDescent="0.25">
      <c r="D150" s="6"/>
      <c r="E150" s="13"/>
      <c r="F150" s="13"/>
      <c r="G150" s="9"/>
      <c r="H150" s="88"/>
      <c r="I150" s="21"/>
    </row>
    <row r="151" spans="4:9" ht="20.100000000000001" customHeight="1" x14ac:dyDescent="0.25">
      <c r="D151" s="6"/>
      <c r="E151" s="13"/>
      <c r="F151" s="13"/>
      <c r="G151" s="9"/>
      <c r="H151" s="88"/>
      <c r="I151" s="21"/>
    </row>
    <row r="152" spans="4:9" ht="20.100000000000001" customHeight="1" x14ac:dyDescent="0.25">
      <c r="D152" s="6"/>
      <c r="E152" s="13"/>
      <c r="F152" s="13"/>
      <c r="G152" s="9"/>
      <c r="H152" s="88"/>
      <c r="I152" s="21"/>
    </row>
    <row r="153" spans="4:9" ht="20.100000000000001" customHeight="1" x14ac:dyDescent="0.25">
      <c r="D153" s="6"/>
      <c r="E153" s="13"/>
      <c r="F153" s="13"/>
      <c r="G153" s="9"/>
      <c r="H153" s="88"/>
      <c r="I153" s="21"/>
    </row>
    <row r="154" spans="4:9" ht="20.100000000000001" customHeight="1" x14ac:dyDescent="0.25">
      <c r="D154" s="6"/>
      <c r="E154" s="13"/>
      <c r="F154" s="13"/>
      <c r="G154" s="9"/>
      <c r="H154" s="88"/>
      <c r="I154" s="21"/>
    </row>
    <row r="155" spans="4:9" ht="20.100000000000001" customHeight="1" x14ac:dyDescent="0.25">
      <c r="D155" s="6"/>
      <c r="E155" s="13"/>
      <c r="F155" s="13"/>
      <c r="G155" s="9"/>
      <c r="H155" s="88"/>
      <c r="I155" s="21"/>
    </row>
    <row r="156" spans="4:9" ht="20.100000000000001" customHeight="1" x14ac:dyDescent="0.25">
      <c r="D156" s="6"/>
      <c r="E156" s="13"/>
      <c r="F156" s="13"/>
      <c r="G156" s="9"/>
      <c r="H156" s="88"/>
      <c r="I156" s="21"/>
    </row>
    <row r="157" spans="4:9" ht="20.100000000000001" customHeight="1" x14ac:dyDescent="0.25">
      <c r="D157" s="6"/>
      <c r="E157" s="13"/>
      <c r="F157" s="13"/>
      <c r="G157" s="9"/>
      <c r="H157" s="88"/>
      <c r="I157" s="21"/>
    </row>
    <row r="158" spans="4:9" ht="20.100000000000001" customHeight="1" x14ac:dyDescent="0.25">
      <c r="D158" s="6"/>
      <c r="E158" s="13"/>
      <c r="F158" s="13"/>
      <c r="G158" s="9"/>
      <c r="H158" s="88"/>
      <c r="I158" s="21"/>
    </row>
    <row r="159" spans="4:9" ht="20.100000000000001" customHeight="1" x14ac:dyDescent="0.25">
      <c r="D159" s="6"/>
      <c r="E159" s="13"/>
      <c r="F159" s="13"/>
      <c r="G159" s="9"/>
      <c r="H159" s="88"/>
      <c r="I159" s="21"/>
    </row>
    <row r="160" spans="4:9" ht="20.100000000000001" customHeight="1" x14ac:dyDescent="0.25">
      <c r="D160" s="6"/>
      <c r="E160" s="13"/>
      <c r="F160" s="13"/>
      <c r="G160" s="9"/>
      <c r="H160" s="88"/>
      <c r="I160" s="21"/>
    </row>
    <row r="161" spans="4:9" ht="20.100000000000001" customHeight="1" x14ac:dyDescent="0.25">
      <c r="D161" s="6"/>
      <c r="E161" s="13"/>
      <c r="F161" s="13"/>
      <c r="G161" s="9"/>
      <c r="H161" s="88"/>
      <c r="I161" s="21"/>
    </row>
    <row r="162" spans="4:9" ht="20.100000000000001" customHeight="1" x14ac:dyDescent="0.25">
      <c r="D162" s="6"/>
      <c r="E162" s="13"/>
      <c r="F162" s="13"/>
      <c r="G162" s="9"/>
      <c r="H162" s="88"/>
      <c r="I162" s="21"/>
    </row>
    <row r="163" spans="4:9" ht="20.100000000000001" customHeight="1" x14ac:dyDescent="0.25">
      <c r="D163" s="6"/>
      <c r="E163" s="13"/>
      <c r="F163" s="13"/>
      <c r="G163" s="9"/>
      <c r="H163" s="88"/>
      <c r="I163" s="21"/>
    </row>
    <row r="164" spans="4:9" ht="20.100000000000001" customHeight="1" x14ac:dyDescent="0.25">
      <c r="D164" s="6"/>
      <c r="E164" s="13"/>
      <c r="F164" s="13"/>
      <c r="G164" s="9"/>
      <c r="H164" s="88"/>
      <c r="I164" s="21"/>
    </row>
    <row r="165" spans="4:9" ht="20.100000000000001" customHeight="1" x14ac:dyDescent="0.25">
      <c r="D165" s="6"/>
      <c r="E165" s="13"/>
      <c r="F165" s="13"/>
      <c r="G165" s="9"/>
      <c r="H165" s="88"/>
      <c r="I165" s="21"/>
    </row>
    <row r="166" spans="4:9" ht="20.100000000000001" customHeight="1" x14ac:dyDescent="0.25">
      <c r="D166" s="6"/>
      <c r="E166" s="13"/>
      <c r="F166" s="13"/>
      <c r="G166" s="9"/>
      <c r="H166" s="88"/>
      <c r="I166" s="21"/>
    </row>
    <row r="167" spans="4:9" ht="20.100000000000001" customHeight="1" x14ac:dyDescent="0.25">
      <c r="D167" s="6"/>
      <c r="E167" s="13"/>
      <c r="F167" s="13"/>
      <c r="G167" s="9"/>
      <c r="H167" s="88"/>
      <c r="I167" s="21"/>
    </row>
    <row r="168" spans="4:9" ht="20.100000000000001" customHeight="1" x14ac:dyDescent="0.25">
      <c r="D168" s="6"/>
      <c r="E168" s="13"/>
      <c r="F168" s="13"/>
      <c r="G168" s="9"/>
      <c r="H168" s="88"/>
      <c r="I168" s="21"/>
    </row>
    <row r="169" spans="4:9" ht="20.100000000000001" customHeight="1" x14ac:dyDescent="0.25">
      <c r="D169" s="6"/>
      <c r="E169" s="13"/>
      <c r="F169" s="13"/>
      <c r="G169" s="9"/>
      <c r="H169" s="88"/>
      <c r="I169" s="21"/>
    </row>
    <row r="170" spans="4:9" ht="20.100000000000001" customHeight="1" x14ac:dyDescent="0.25">
      <c r="D170" s="6"/>
      <c r="E170" s="13"/>
      <c r="F170" s="13"/>
      <c r="G170" s="9"/>
      <c r="H170" s="88"/>
      <c r="I170" s="21"/>
    </row>
    <row r="171" spans="4:9" ht="20.100000000000001" customHeight="1" x14ac:dyDescent="0.25">
      <c r="D171" s="6"/>
      <c r="E171" s="13"/>
      <c r="F171" s="14"/>
      <c r="G171" s="9"/>
      <c r="H171" s="88"/>
      <c r="I171" s="21"/>
    </row>
    <row r="172" spans="4:9" ht="20.100000000000001" customHeight="1" x14ac:dyDescent="0.25">
      <c r="D172" s="6"/>
      <c r="E172" s="13"/>
      <c r="F172" s="14"/>
      <c r="G172" s="9"/>
      <c r="H172" s="88"/>
      <c r="I172" s="21"/>
    </row>
    <row r="173" spans="4:9" ht="20.100000000000001" customHeight="1" x14ac:dyDescent="0.25">
      <c r="D173" s="6"/>
      <c r="E173" s="13"/>
      <c r="F173" s="14"/>
      <c r="G173" s="9"/>
      <c r="H173" s="88"/>
      <c r="I173" s="21"/>
    </row>
    <row r="174" spans="4:9" ht="20.100000000000001" customHeight="1" x14ac:dyDescent="0.25">
      <c r="D174" s="6"/>
      <c r="E174" s="13"/>
      <c r="F174" s="14"/>
      <c r="G174" s="9"/>
      <c r="H174" s="88"/>
      <c r="I174" s="21"/>
    </row>
    <row r="175" spans="4:9" ht="20.100000000000001" customHeight="1" x14ac:dyDescent="0.25">
      <c r="D175" s="6"/>
      <c r="E175" s="13"/>
      <c r="F175" s="14"/>
      <c r="G175" s="9"/>
      <c r="H175" s="88"/>
      <c r="I175" s="21"/>
    </row>
    <row r="176" spans="4:9" ht="20.100000000000001" customHeight="1" x14ac:dyDescent="0.25">
      <c r="D176" s="6"/>
      <c r="E176" s="13"/>
      <c r="F176" s="14"/>
      <c r="G176" s="9"/>
      <c r="H176" s="88"/>
      <c r="I176" s="21"/>
    </row>
    <row r="177" spans="4:9" ht="20.100000000000001" customHeight="1" x14ac:dyDescent="0.25">
      <c r="D177" s="6"/>
      <c r="E177" s="13"/>
      <c r="F177" s="14"/>
      <c r="G177" s="9"/>
      <c r="H177" s="88"/>
      <c r="I177" s="21"/>
    </row>
    <row r="178" spans="4:9" ht="20.100000000000001" customHeight="1" x14ac:dyDescent="0.25">
      <c r="D178" s="6"/>
      <c r="E178" s="13"/>
      <c r="F178" s="14"/>
      <c r="G178" s="9"/>
      <c r="H178" s="88"/>
      <c r="I178" s="21"/>
    </row>
    <row r="179" spans="4:9" ht="20.100000000000001" customHeight="1" x14ac:dyDescent="0.25">
      <c r="D179" s="6"/>
      <c r="E179" s="13"/>
      <c r="F179" s="14"/>
      <c r="G179" s="9"/>
      <c r="H179" s="88"/>
      <c r="I179" s="21"/>
    </row>
    <row r="180" spans="4:9" ht="20.100000000000001" customHeight="1" x14ac:dyDescent="0.25">
      <c r="D180" s="6"/>
      <c r="E180" s="13"/>
      <c r="F180" s="14"/>
      <c r="G180" s="9"/>
      <c r="H180" s="88"/>
      <c r="I180" s="21"/>
    </row>
    <row r="181" spans="4:9" ht="20.100000000000001" customHeight="1" x14ac:dyDescent="0.25">
      <c r="D181" s="6"/>
      <c r="E181" s="13"/>
      <c r="F181" s="14"/>
      <c r="G181" s="9"/>
      <c r="H181" s="88"/>
      <c r="I181" s="21"/>
    </row>
    <row r="182" spans="4:9" ht="20.100000000000001" customHeight="1" x14ac:dyDescent="0.25">
      <c r="D182" s="6"/>
      <c r="E182" s="13"/>
      <c r="F182" s="14"/>
      <c r="G182" s="9"/>
      <c r="H182" s="88"/>
      <c r="I182" s="21"/>
    </row>
    <row r="183" spans="4:9" ht="20.100000000000001" customHeight="1" x14ac:dyDescent="0.25">
      <c r="D183" s="6"/>
      <c r="E183" s="13"/>
      <c r="F183" s="14"/>
      <c r="G183" s="9"/>
      <c r="H183" s="88"/>
      <c r="I183" s="21"/>
    </row>
    <row r="184" spans="4:9" ht="20.100000000000001" customHeight="1" x14ac:dyDescent="0.25">
      <c r="D184" s="6"/>
      <c r="E184" s="13"/>
      <c r="F184" s="14"/>
      <c r="G184" s="9"/>
      <c r="H184" s="88"/>
      <c r="I184" s="21"/>
    </row>
    <row r="185" spans="4:9" ht="20.100000000000001" customHeight="1" x14ac:dyDescent="0.25">
      <c r="D185" s="6"/>
      <c r="E185" s="13"/>
      <c r="F185" s="14"/>
      <c r="G185" s="9"/>
      <c r="H185" s="88"/>
      <c r="I185" s="21"/>
    </row>
    <row r="186" spans="4:9" ht="20.100000000000001" customHeight="1" x14ac:dyDescent="0.25">
      <c r="D186" s="6"/>
      <c r="E186" s="13"/>
      <c r="F186" s="14"/>
      <c r="G186" s="9"/>
      <c r="H186" s="88"/>
      <c r="I186" s="21"/>
    </row>
    <row r="187" spans="4:9" ht="20.100000000000001" customHeight="1" x14ac:dyDescent="0.25">
      <c r="D187" s="6"/>
      <c r="E187" s="13"/>
      <c r="F187" s="14"/>
      <c r="G187" s="9"/>
      <c r="H187" s="88"/>
      <c r="I187" s="21"/>
    </row>
    <row r="188" spans="4:9" ht="20.100000000000001" customHeight="1" x14ac:dyDescent="0.25">
      <c r="D188" s="6"/>
      <c r="E188" s="13"/>
      <c r="F188" s="14"/>
      <c r="G188" s="9"/>
      <c r="H188" s="88"/>
      <c r="I188" s="21"/>
    </row>
    <row r="189" spans="4:9" ht="20.100000000000001" customHeight="1" x14ac:dyDescent="0.25">
      <c r="D189" s="6"/>
      <c r="E189" s="13"/>
      <c r="F189" s="14"/>
      <c r="G189" s="9"/>
      <c r="H189" s="88"/>
      <c r="I189" s="21"/>
    </row>
    <row r="190" spans="4:9" ht="20.100000000000001" customHeight="1" x14ac:dyDescent="0.25">
      <c r="D190" s="6"/>
      <c r="E190" s="13"/>
      <c r="F190" s="14"/>
      <c r="G190" s="9"/>
      <c r="H190" s="88"/>
      <c r="I190" s="21"/>
    </row>
    <row r="191" spans="4:9" ht="20.100000000000001" customHeight="1" x14ac:dyDescent="0.25">
      <c r="D191" s="6"/>
      <c r="E191" s="13"/>
      <c r="F191" s="14"/>
      <c r="G191" s="9"/>
      <c r="H191" s="88"/>
      <c r="I191" s="21"/>
    </row>
    <row r="192" spans="4:9" ht="20.100000000000001" customHeight="1" x14ac:dyDescent="0.25">
      <c r="D192" s="6"/>
      <c r="E192" s="13"/>
      <c r="F192" s="14"/>
      <c r="G192" s="9"/>
      <c r="H192" s="88"/>
      <c r="I192" s="21"/>
    </row>
    <row r="193" spans="4:9" ht="20.100000000000001" customHeight="1" x14ac:dyDescent="0.25">
      <c r="D193" s="6"/>
      <c r="E193" s="13"/>
      <c r="F193" s="14"/>
      <c r="G193" s="9"/>
      <c r="H193" s="88"/>
      <c r="I193" s="21"/>
    </row>
    <row r="194" spans="4:9" ht="20.100000000000001" customHeight="1" x14ac:dyDescent="0.25">
      <c r="D194" s="6"/>
      <c r="E194" s="13"/>
      <c r="F194" s="14"/>
      <c r="G194" s="9"/>
      <c r="H194" s="88"/>
      <c r="I194" s="21"/>
    </row>
    <row r="195" spans="4:9" ht="20.100000000000001" customHeight="1" x14ac:dyDescent="0.25">
      <c r="D195" s="6"/>
      <c r="E195" s="13"/>
      <c r="F195" s="14"/>
      <c r="G195" s="9"/>
      <c r="H195" s="88"/>
      <c r="I195" s="21"/>
    </row>
    <row r="196" spans="4:9" ht="20.100000000000001" customHeight="1" x14ac:dyDescent="0.25">
      <c r="D196" s="6"/>
      <c r="E196" s="13"/>
      <c r="F196" s="14"/>
      <c r="G196" s="9"/>
      <c r="H196" s="88"/>
      <c r="I196" s="21"/>
    </row>
    <row r="197" spans="4:9" ht="20.100000000000001" customHeight="1" x14ac:dyDescent="0.25">
      <c r="D197" s="6"/>
      <c r="E197" s="13"/>
      <c r="F197" s="14"/>
      <c r="G197" s="9"/>
      <c r="H197" s="88"/>
      <c r="I197" s="21"/>
    </row>
    <row r="198" spans="4:9" ht="20.100000000000001" customHeight="1" x14ac:dyDescent="0.25">
      <c r="D198" s="6"/>
      <c r="E198" s="13"/>
      <c r="F198" s="14"/>
      <c r="G198" s="9"/>
      <c r="H198" s="88"/>
      <c r="I198" s="21"/>
    </row>
    <row r="199" spans="4:9" ht="20.100000000000001" customHeight="1" x14ac:dyDescent="0.25">
      <c r="D199" s="6"/>
      <c r="E199" s="13"/>
      <c r="F199" s="14"/>
      <c r="G199" s="9"/>
      <c r="H199" s="88"/>
      <c r="I199" s="21"/>
    </row>
    <row r="200" spans="4:9" ht="20.100000000000001" customHeight="1" x14ac:dyDescent="0.25">
      <c r="D200" s="6"/>
      <c r="E200" s="13"/>
      <c r="F200" s="14"/>
      <c r="G200" s="9"/>
      <c r="H200" s="88"/>
      <c r="I200" s="21"/>
    </row>
    <row r="201" spans="4:9" ht="20.100000000000001" customHeight="1" x14ac:dyDescent="0.25">
      <c r="D201" s="6"/>
      <c r="E201" s="13"/>
      <c r="F201" s="14"/>
      <c r="G201" s="9"/>
      <c r="H201" s="88"/>
      <c r="I201" s="21"/>
    </row>
    <row r="202" spans="4:9" ht="20.100000000000001" customHeight="1" x14ac:dyDescent="0.25">
      <c r="E202" s="16"/>
      <c r="F202" s="16"/>
      <c r="G202" s="9"/>
      <c r="H202" s="87"/>
      <c r="I202" s="22"/>
    </row>
    <row r="203" spans="4:9" ht="20.100000000000001" customHeight="1" x14ac:dyDescent="0.25">
      <c r="E203" s="16"/>
      <c r="F203" s="16"/>
      <c r="G203" s="9"/>
      <c r="H203" s="88"/>
      <c r="I203" s="21"/>
    </row>
    <row r="204" spans="4:9" ht="20.100000000000001" customHeight="1" x14ac:dyDescent="0.25">
      <c r="E204" s="16"/>
      <c r="F204" s="16"/>
      <c r="G204" s="9"/>
      <c r="H204" s="88"/>
    </row>
    <row r="205" spans="4:9" ht="20.100000000000001" customHeight="1" x14ac:dyDescent="0.25">
      <c r="E205" s="16"/>
      <c r="F205" s="16"/>
      <c r="G205" s="9"/>
      <c r="H205" s="88"/>
    </row>
    <row r="206" spans="4:9" ht="20.100000000000001" customHeight="1" x14ac:dyDescent="0.25">
      <c r="E206" s="16"/>
      <c r="F206" s="16"/>
      <c r="G206" s="9"/>
      <c r="H206" s="88"/>
    </row>
    <row r="207" spans="4:9" ht="20.100000000000001" customHeight="1" x14ac:dyDescent="0.25">
      <c r="E207" s="16"/>
      <c r="F207" s="16"/>
      <c r="G207" s="9"/>
    </row>
    <row r="208" spans="4:9" ht="20.100000000000001" customHeight="1" x14ac:dyDescent="0.25">
      <c r="E208" s="16"/>
      <c r="F208" s="16"/>
    </row>
    <row r="209" spans="5:6" ht="20.100000000000001" customHeight="1" x14ac:dyDescent="0.25">
      <c r="E209" s="16"/>
      <c r="F209" s="16"/>
    </row>
    <row r="210" spans="5:6" ht="20.100000000000001" customHeight="1" x14ac:dyDescent="0.25">
      <c r="E210" s="16"/>
      <c r="F210" s="16"/>
    </row>
    <row r="211" spans="5:6" ht="20.100000000000001" customHeight="1" x14ac:dyDescent="0.25">
      <c r="E211" s="16"/>
      <c r="F211" s="16"/>
    </row>
    <row r="212" spans="5:6" ht="20.100000000000001" customHeight="1" x14ac:dyDescent="0.25">
      <c r="E212" s="16"/>
      <c r="F212" s="16"/>
    </row>
    <row r="213" spans="5:6" ht="20.100000000000001" customHeight="1" x14ac:dyDescent="0.25">
      <c r="E213" s="16"/>
      <c r="F213" s="16"/>
    </row>
    <row r="214" spans="5:6" ht="20.100000000000001" customHeight="1" x14ac:dyDescent="0.25">
      <c r="E214" s="16"/>
      <c r="F214" s="16"/>
    </row>
    <row r="215" spans="5:6" ht="20.100000000000001" customHeight="1" x14ac:dyDescent="0.25">
      <c r="E215" s="16"/>
      <c r="F215" s="16"/>
    </row>
    <row r="216" spans="5:6" ht="20.100000000000001" customHeight="1" x14ac:dyDescent="0.25">
      <c r="E216" s="16"/>
      <c r="F216" s="16"/>
    </row>
    <row r="217" spans="5:6" ht="20.100000000000001" customHeight="1" x14ac:dyDescent="0.25">
      <c r="E217" s="16"/>
      <c r="F217" s="16"/>
    </row>
    <row r="218" spans="5:6" ht="20.100000000000001" customHeight="1" x14ac:dyDescent="0.25">
      <c r="E218" s="16"/>
      <c r="F218" s="16"/>
    </row>
    <row r="219" spans="5:6" ht="20.100000000000001" customHeight="1" x14ac:dyDescent="0.25">
      <c r="E219" s="16"/>
      <c r="F219" s="16"/>
    </row>
    <row r="220" spans="5:6" ht="20.100000000000001" customHeight="1" x14ac:dyDescent="0.25">
      <c r="E220" s="16"/>
      <c r="F220" s="16"/>
    </row>
    <row r="221" spans="5:6" ht="20.100000000000001" customHeight="1" x14ac:dyDescent="0.25">
      <c r="E221" s="16"/>
      <c r="F221" s="16"/>
    </row>
    <row r="222" spans="5:6" ht="20.100000000000001" customHeight="1" x14ac:dyDescent="0.25">
      <c r="E222" s="16"/>
      <c r="F222" s="16"/>
    </row>
    <row r="223" spans="5:6" ht="20.100000000000001" customHeight="1" x14ac:dyDescent="0.25">
      <c r="E223" s="16"/>
      <c r="F223" s="16"/>
    </row>
    <row r="224" spans="5:6" ht="20.100000000000001" customHeight="1" x14ac:dyDescent="0.25">
      <c r="E224" s="16"/>
      <c r="F224" s="16"/>
    </row>
    <row r="225" spans="5:6" ht="20.100000000000001" customHeight="1" x14ac:dyDescent="0.25">
      <c r="E225" s="16"/>
      <c r="F225" s="16"/>
    </row>
    <row r="226" spans="5:6" ht="20.100000000000001" customHeight="1" x14ac:dyDescent="0.25">
      <c r="E226" s="16"/>
      <c r="F226" s="16"/>
    </row>
    <row r="227" spans="5:6" ht="20.100000000000001" customHeight="1" x14ac:dyDescent="0.25">
      <c r="E227" s="16"/>
      <c r="F227" s="16"/>
    </row>
    <row r="228" spans="5:6" ht="20.100000000000001" customHeight="1" x14ac:dyDescent="0.25">
      <c r="E228" s="16"/>
      <c r="F228" s="16"/>
    </row>
    <row r="229" spans="5:6" ht="20.100000000000001" customHeight="1" x14ac:dyDescent="0.25">
      <c r="E229" s="16"/>
      <c r="F229" s="16"/>
    </row>
    <row r="230" spans="5:6" ht="20.100000000000001" customHeight="1" x14ac:dyDescent="0.25">
      <c r="E230" s="16"/>
      <c r="F230" s="16"/>
    </row>
    <row r="231" spans="5:6" ht="20.100000000000001" customHeight="1" x14ac:dyDescent="0.25">
      <c r="E231" s="16"/>
      <c r="F231" s="16"/>
    </row>
    <row r="232" spans="5:6" ht="20.100000000000001" customHeight="1" x14ac:dyDescent="0.25">
      <c r="E232" s="16"/>
      <c r="F232" s="16"/>
    </row>
    <row r="233" spans="5:6" ht="20.100000000000001" customHeight="1" x14ac:dyDescent="0.25">
      <c r="E233" s="16"/>
      <c r="F233" s="16"/>
    </row>
  </sheetData>
  <sortState ref="E7:F112">
    <sortCondition ref="E6"/>
  </sortState>
  <mergeCells count="7">
    <mergeCell ref="D1:D4"/>
    <mergeCell ref="I1:I2"/>
    <mergeCell ref="I3:I4"/>
    <mergeCell ref="E1:E4"/>
    <mergeCell ref="F1:H2"/>
    <mergeCell ref="F3:H3"/>
    <mergeCell ref="F4:H4"/>
  </mergeCells>
  <hyperlinks>
    <hyperlink ref="F4" r:id="rId1" display="www.newgreente.co.in"/>
    <hyperlink ref="F4:H4" r:id="rId2" display="http://www.newgreentea.co.in/"/>
    <hyperlink ref="E6" location="'A(TEMPLET)'!A1" display="A(TEMPLET)"/>
    <hyperlink ref="E7" location="'AB AHAD MIR'!A1" display="AB AHAD MIR"/>
  </hyperlinks>
  <pageMargins left="0.7" right="0.7" top="0.75" bottom="0.75" header="0.3" footer="0.3"/>
  <pageSetup orientation="portrait" horizontalDpi="4294967293" verticalDpi="4294967293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98"/>
  <sheetViews>
    <sheetView workbookViewId="0">
      <selection activeCell="G9" sqref="G9"/>
    </sheetView>
  </sheetViews>
  <sheetFormatPr defaultRowHeight="20.100000000000001" customHeight="1" x14ac:dyDescent="0.25"/>
  <cols>
    <col min="1" max="1" width="9.140625" style="47"/>
    <col min="2" max="2" width="13.5703125" style="15" customWidth="1"/>
    <col min="3" max="3" width="19.5703125" style="68" customWidth="1"/>
    <col min="4" max="4" width="8.140625" style="18" customWidth="1"/>
    <col min="5" max="5" width="9.7109375" style="44" customWidth="1"/>
    <col min="6" max="6" width="16.5703125" style="36" customWidth="1"/>
    <col min="7" max="7" width="14.42578125" style="36" customWidth="1"/>
    <col min="8" max="8" width="9.140625" style="36" customWidth="1"/>
    <col min="9" max="9" width="17.28515625" style="51" customWidth="1"/>
    <col min="10" max="10" width="16.28515625" style="58" customWidth="1"/>
    <col min="11" max="11" width="31.7109375" style="41" customWidth="1"/>
    <col min="12" max="14" width="9.140625" style="42"/>
    <col min="15" max="16384" width="9.140625" style="1"/>
  </cols>
  <sheetData>
    <row r="1" spans="2:19" ht="20.100000000000001" customHeight="1" x14ac:dyDescent="0.25">
      <c r="B1" s="231"/>
      <c r="C1" s="59"/>
      <c r="D1" s="241" t="s">
        <v>179</v>
      </c>
      <c r="E1" s="241"/>
      <c r="F1" s="241"/>
      <c r="G1" s="45"/>
      <c r="H1" s="45"/>
      <c r="I1" s="45"/>
      <c r="J1" s="27"/>
      <c r="K1" s="232" t="s">
        <v>158</v>
      </c>
    </row>
    <row r="2" spans="2:19" ht="20.100000000000001" customHeight="1" x14ac:dyDescent="0.25">
      <c r="B2" s="231"/>
      <c r="C2" s="60"/>
      <c r="D2" s="242"/>
      <c r="E2" s="242"/>
      <c r="F2" s="242"/>
      <c r="G2" s="45"/>
      <c r="H2" s="45"/>
      <c r="I2" s="45"/>
      <c r="J2" s="33" t="s">
        <v>156</v>
      </c>
      <c r="K2" s="232"/>
    </row>
    <row r="3" spans="2:19" ht="20.100000000000001" customHeight="1" x14ac:dyDescent="0.25">
      <c r="B3" s="231"/>
      <c r="C3" s="61"/>
      <c r="D3" s="243" t="s">
        <v>180</v>
      </c>
      <c r="E3" s="243"/>
      <c r="F3" s="243"/>
      <c r="G3" s="46"/>
      <c r="H3" s="46"/>
      <c r="I3" s="46"/>
      <c r="J3" s="77">
        <f>J6+(SUM(F7:F298)-SUM(G7:G298))</f>
        <v>0</v>
      </c>
      <c r="K3" s="233">
        <f ca="1">(TODAY())</f>
        <v>43928</v>
      </c>
    </row>
    <row r="4" spans="2:19" ht="20.100000000000001" customHeight="1" x14ac:dyDescent="0.25">
      <c r="B4" s="231"/>
      <c r="C4" s="61"/>
      <c r="D4" s="244" t="s">
        <v>180</v>
      </c>
      <c r="E4" s="244"/>
      <c r="F4" s="244"/>
      <c r="G4" s="25"/>
      <c r="H4" s="25"/>
      <c r="I4" s="25"/>
      <c r="J4" s="28"/>
      <c r="K4" s="233"/>
    </row>
    <row r="5" spans="2:19" ht="20.100000000000001" customHeight="1" x14ac:dyDescent="0.35">
      <c r="B5" s="29" t="s">
        <v>0</v>
      </c>
      <c r="C5" s="62" t="s">
        <v>166</v>
      </c>
      <c r="D5" s="30" t="s">
        <v>172</v>
      </c>
      <c r="E5" s="32" t="s">
        <v>173</v>
      </c>
      <c r="F5" s="31" t="s">
        <v>168</v>
      </c>
      <c r="G5" s="31" t="s">
        <v>169</v>
      </c>
      <c r="H5" s="31" t="s">
        <v>174</v>
      </c>
      <c r="I5" s="32" t="s">
        <v>177</v>
      </c>
      <c r="J5" s="75" t="s">
        <v>156</v>
      </c>
      <c r="K5" s="32" t="s">
        <v>167</v>
      </c>
      <c r="O5" s="2"/>
      <c r="P5" s="2"/>
      <c r="Q5" s="2"/>
      <c r="R5" s="2"/>
      <c r="S5" s="2"/>
    </row>
    <row r="6" spans="2:19" ht="20.100000000000001" customHeight="1" x14ac:dyDescent="0.25">
      <c r="B6" s="69" t="s">
        <v>178</v>
      </c>
      <c r="C6" s="70">
        <v>43922</v>
      </c>
      <c r="D6" s="71"/>
      <c r="E6" s="72"/>
      <c r="F6" s="73"/>
      <c r="G6" s="73"/>
      <c r="H6" s="73"/>
      <c r="I6" s="72"/>
      <c r="J6" s="74">
        <v>0</v>
      </c>
      <c r="K6" s="72"/>
      <c r="O6" s="2"/>
      <c r="P6" s="2"/>
      <c r="Q6" s="2"/>
      <c r="R6" s="2"/>
      <c r="S6" s="2"/>
    </row>
    <row r="7" spans="2:19" ht="20.100000000000001" customHeight="1" x14ac:dyDescent="0.25">
      <c r="B7" s="3">
        <v>1</v>
      </c>
      <c r="C7" s="63"/>
      <c r="D7" s="4"/>
      <c r="E7" s="48"/>
      <c r="F7" s="34"/>
      <c r="G7" s="34"/>
      <c r="H7" s="34"/>
      <c r="I7" s="50"/>
      <c r="J7" s="76">
        <f>J6+F7-G7</f>
        <v>0</v>
      </c>
      <c r="K7" s="37"/>
    </row>
    <row r="8" spans="2:19" ht="20.100000000000001" customHeight="1" x14ac:dyDescent="0.25">
      <c r="B8" s="6">
        <v>2</v>
      </c>
      <c r="C8" s="64"/>
      <c r="D8" s="4"/>
      <c r="E8" s="49"/>
      <c r="F8" s="35"/>
      <c r="G8" s="35"/>
      <c r="H8" s="34"/>
      <c r="J8" s="76">
        <f t="shared" ref="J8:J71" si="0">J7+F8-G8</f>
        <v>0</v>
      </c>
      <c r="K8" s="38"/>
    </row>
    <row r="9" spans="2:19" ht="20.100000000000001" customHeight="1" x14ac:dyDescent="0.25">
      <c r="B9" s="6">
        <v>3</v>
      </c>
      <c r="C9" s="64"/>
      <c r="D9" s="4"/>
      <c r="E9" s="49"/>
      <c r="F9" s="35"/>
      <c r="G9" s="35"/>
      <c r="H9" s="34"/>
      <c r="J9" s="76">
        <f t="shared" si="0"/>
        <v>0</v>
      </c>
      <c r="K9" s="38"/>
    </row>
    <row r="10" spans="2:19" ht="20.100000000000001" customHeight="1" x14ac:dyDescent="0.25">
      <c r="B10" s="6">
        <v>4</v>
      </c>
      <c r="C10" s="64"/>
      <c r="D10" s="4"/>
      <c r="E10" s="49"/>
      <c r="F10" s="35"/>
      <c r="G10" s="35"/>
      <c r="H10" s="34"/>
      <c r="J10" s="76">
        <f t="shared" si="0"/>
        <v>0</v>
      </c>
      <c r="K10" s="38"/>
    </row>
    <row r="11" spans="2:19" ht="20.100000000000001" customHeight="1" x14ac:dyDescent="0.25">
      <c r="B11" s="6">
        <v>5</v>
      </c>
      <c r="C11" s="64"/>
      <c r="D11" s="4"/>
      <c r="E11" s="49"/>
      <c r="F11" s="35"/>
      <c r="G11" s="35"/>
      <c r="H11" s="34"/>
      <c r="J11" s="76">
        <f t="shared" si="0"/>
        <v>0</v>
      </c>
      <c r="K11" s="38"/>
    </row>
    <row r="12" spans="2:19" ht="20.100000000000001" customHeight="1" x14ac:dyDescent="0.25">
      <c r="B12" s="6">
        <v>6</v>
      </c>
      <c r="C12" s="64"/>
      <c r="D12" s="4"/>
      <c r="E12" s="43"/>
      <c r="F12" s="35"/>
      <c r="G12" s="35"/>
      <c r="H12" s="34"/>
      <c r="J12" s="76">
        <f t="shared" si="0"/>
        <v>0</v>
      </c>
      <c r="K12" s="38"/>
    </row>
    <row r="13" spans="2:19" ht="20.100000000000001" customHeight="1" x14ac:dyDescent="0.25">
      <c r="B13" s="6">
        <v>7</v>
      </c>
      <c r="C13" s="64"/>
      <c r="D13" s="4"/>
      <c r="E13" s="43"/>
      <c r="F13" s="35"/>
      <c r="G13" s="35"/>
      <c r="H13" s="34"/>
      <c r="J13" s="76">
        <f t="shared" si="0"/>
        <v>0</v>
      </c>
      <c r="K13" s="38"/>
    </row>
    <row r="14" spans="2:19" ht="20.100000000000001" customHeight="1" x14ac:dyDescent="0.25">
      <c r="B14" s="6">
        <v>8</v>
      </c>
      <c r="C14" s="64"/>
      <c r="D14" s="4"/>
      <c r="E14" s="43"/>
      <c r="F14" s="35"/>
      <c r="G14" s="35"/>
      <c r="H14" s="34"/>
      <c r="J14" s="76">
        <f t="shared" si="0"/>
        <v>0</v>
      </c>
      <c r="K14" s="38"/>
      <c r="P14" s="1">
        <f>'A(TEMPLET)-OLD'!Q13:Q14</f>
        <v>0</v>
      </c>
    </row>
    <row r="15" spans="2:19" ht="20.100000000000001" customHeight="1" x14ac:dyDescent="0.25">
      <c r="B15" s="6">
        <v>9</v>
      </c>
      <c r="C15" s="64"/>
      <c r="D15" s="4"/>
      <c r="E15" s="43"/>
      <c r="F15" s="35"/>
      <c r="G15" s="35"/>
      <c r="H15" s="34"/>
      <c r="J15" s="76">
        <f t="shared" si="0"/>
        <v>0</v>
      </c>
      <c r="K15" s="38"/>
    </row>
    <row r="16" spans="2:19" ht="20.100000000000001" customHeight="1" x14ac:dyDescent="0.25">
      <c r="B16" s="6">
        <v>10</v>
      </c>
      <c r="C16" s="64"/>
      <c r="D16" s="4"/>
      <c r="E16" s="43"/>
      <c r="F16" s="35"/>
      <c r="G16" s="35"/>
      <c r="H16" s="34"/>
      <c r="J16" s="76">
        <f t="shared" si="0"/>
        <v>0</v>
      </c>
      <c r="K16" s="38"/>
    </row>
    <row r="17" spans="2:16" ht="20.100000000000001" customHeight="1" x14ac:dyDescent="0.25">
      <c r="B17" s="6">
        <v>11</v>
      </c>
      <c r="C17" s="64"/>
      <c r="D17" s="4"/>
      <c r="E17" s="43"/>
      <c r="F17" s="35"/>
      <c r="G17" s="35"/>
      <c r="H17" s="34"/>
      <c r="J17" s="76">
        <f t="shared" si="0"/>
        <v>0</v>
      </c>
      <c r="K17" s="38"/>
      <c r="P17" s="52"/>
    </row>
    <row r="18" spans="2:16" ht="20.100000000000001" customHeight="1" x14ac:dyDescent="0.25">
      <c r="B18" s="6">
        <v>12</v>
      </c>
      <c r="C18" s="64"/>
      <c r="D18" s="4"/>
      <c r="E18" s="43"/>
      <c r="F18" s="35"/>
      <c r="G18" s="35"/>
      <c r="H18" s="34"/>
      <c r="J18" s="76">
        <f t="shared" si="0"/>
        <v>0</v>
      </c>
      <c r="K18" s="38"/>
    </row>
    <row r="19" spans="2:16" ht="20.100000000000001" customHeight="1" x14ac:dyDescent="0.25">
      <c r="B19" s="6">
        <v>13</v>
      </c>
      <c r="C19" s="64"/>
      <c r="D19" s="4"/>
      <c r="E19" s="43"/>
      <c r="F19" s="35"/>
      <c r="G19" s="35"/>
      <c r="H19" s="34"/>
      <c r="J19" s="76">
        <f t="shared" si="0"/>
        <v>0</v>
      </c>
      <c r="K19" s="38"/>
    </row>
    <row r="20" spans="2:16" ht="20.100000000000001" customHeight="1" x14ac:dyDescent="0.25">
      <c r="B20" s="6">
        <v>14</v>
      </c>
      <c r="C20" s="65"/>
      <c r="D20" s="4"/>
      <c r="E20" s="43"/>
      <c r="F20" s="35"/>
      <c r="G20" s="35"/>
      <c r="H20" s="34"/>
      <c r="J20" s="76">
        <f t="shared" si="0"/>
        <v>0</v>
      </c>
      <c r="K20" s="38"/>
    </row>
    <row r="21" spans="2:16" ht="20.100000000000001" customHeight="1" x14ac:dyDescent="0.25">
      <c r="B21" s="6"/>
      <c r="C21" s="64"/>
      <c r="D21" s="4"/>
      <c r="E21" s="43"/>
      <c r="F21" s="35"/>
      <c r="G21" s="35"/>
      <c r="H21" s="34"/>
      <c r="J21" s="76">
        <f t="shared" si="0"/>
        <v>0</v>
      </c>
      <c r="K21" s="38"/>
    </row>
    <row r="22" spans="2:16" ht="20.100000000000001" customHeight="1" x14ac:dyDescent="0.25">
      <c r="B22" s="6"/>
      <c r="C22" s="64"/>
      <c r="D22" s="4"/>
      <c r="E22" s="43"/>
      <c r="F22" s="35"/>
      <c r="G22" s="35"/>
      <c r="H22" s="34"/>
      <c r="J22" s="76">
        <f t="shared" si="0"/>
        <v>0</v>
      </c>
      <c r="K22" s="38"/>
    </row>
    <row r="23" spans="2:16" ht="20.100000000000001" customHeight="1" x14ac:dyDescent="0.25">
      <c r="B23" s="6"/>
      <c r="C23" s="64"/>
      <c r="D23" s="4"/>
      <c r="E23" s="43"/>
      <c r="F23" s="35"/>
      <c r="G23" s="35"/>
      <c r="H23" s="34"/>
      <c r="J23" s="76">
        <f t="shared" si="0"/>
        <v>0</v>
      </c>
      <c r="K23" s="38"/>
    </row>
    <row r="24" spans="2:16" ht="20.100000000000001" customHeight="1" x14ac:dyDescent="0.25">
      <c r="B24" s="6"/>
      <c r="C24" s="64"/>
      <c r="D24" s="4"/>
      <c r="E24" s="43"/>
      <c r="F24" s="35"/>
      <c r="G24" s="35"/>
      <c r="H24" s="34"/>
      <c r="J24" s="76">
        <f t="shared" si="0"/>
        <v>0</v>
      </c>
      <c r="K24" s="38"/>
    </row>
    <row r="25" spans="2:16" ht="20.100000000000001" customHeight="1" x14ac:dyDescent="0.25">
      <c r="B25" s="6"/>
      <c r="C25" s="64"/>
      <c r="D25" s="4"/>
      <c r="E25" s="43"/>
      <c r="F25" s="35"/>
      <c r="G25" s="35"/>
      <c r="H25" s="34"/>
      <c r="J25" s="76">
        <f t="shared" si="0"/>
        <v>0</v>
      </c>
      <c r="K25" s="39"/>
    </row>
    <row r="26" spans="2:16" ht="20.100000000000001" customHeight="1" x14ac:dyDescent="0.25">
      <c r="B26" s="6"/>
      <c r="C26" s="64"/>
      <c r="D26" s="4"/>
      <c r="E26" s="43"/>
      <c r="F26" s="35"/>
      <c r="G26" s="35"/>
      <c r="H26" s="34"/>
      <c r="J26" s="76">
        <f t="shared" si="0"/>
        <v>0</v>
      </c>
      <c r="K26" s="39"/>
    </row>
    <row r="27" spans="2:16" ht="20.100000000000001" customHeight="1" x14ac:dyDescent="0.25">
      <c r="B27" s="6"/>
      <c r="C27" s="64"/>
      <c r="D27" s="4"/>
      <c r="E27" s="43"/>
      <c r="F27" s="35"/>
      <c r="G27" s="35"/>
      <c r="H27" s="34"/>
      <c r="J27" s="76">
        <f t="shared" si="0"/>
        <v>0</v>
      </c>
      <c r="K27" s="39"/>
    </row>
    <row r="28" spans="2:16" ht="20.100000000000001" customHeight="1" x14ac:dyDescent="0.25">
      <c r="B28" s="6"/>
      <c r="C28" s="64"/>
      <c r="D28" s="4"/>
      <c r="E28" s="43"/>
      <c r="F28" s="35"/>
      <c r="G28" s="35"/>
      <c r="H28" s="34"/>
      <c r="J28" s="76">
        <f t="shared" si="0"/>
        <v>0</v>
      </c>
      <c r="K28" s="39"/>
    </row>
    <row r="29" spans="2:16" ht="20.100000000000001" customHeight="1" x14ac:dyDescent="0.25">
      <c r="B29" s="6"/>
      <c r="C29" s="64"/>
      <c r="D29" s="4"/>
      <c r="E29" s="43"/>
      <c r="F29" s="35"/>
      <c r="G29" s="35"/>
      <c r="H29" s="34"/>
      <c r="J29" s="76">
        <f t="shared" si="0"/>
        <v>0</v>
      </c>
      <c r="K29" s="39"/>
    </row>
    <row r="30" spans="2:16" ht="20.100000000000001" customHeight="1" x14ac:dyDescent="0.25">
      <c r="B30" s="6"/>
      <c r="C30" s="64"/>
      <c r="D30" s="4"/>
      <c r="E30" s="43"/>
      <c r="F30" s="35"/>
      <c r="G30" s="35"/>
      <c r="H30" s="34"/>
      <c r="J30" s="76">
        <f t="shared" si="0"/>
        <v>0</v>
      </c>
      <c r="K30" s="39"/>
    </row>
    <row r="31" spans="2:16" ht="20.100000000000001" customHeight="1" x14ac:dyDescent="0.25">
      <c r="B31" s="6"/>
      <c r="C31" s="64"/>
      <c r="D31" s="4"/>
      <c r="E31" s="43"/>
      <c r="F31" s="35"/>
      <c r="G31" s="35"/>
      <c r="H31" s="34"/>
      <c r="J31" s="76">
        <f t="shared" si="0"/>
        <v>0</v>
      </c>
      <c r="K31" s="39"/>
    </row>
    <row r="32" spans="2:16" ht="20.100000000000001" customHeight="1" x14ac:dyDescent="0.25">
      <c r="B32" s="6"/>
      <c r="C32" s="64"/>
      <c r="D32" s="4"/>
      <c r="E32" s="43"/>
      <c r="F32" s="35"/>
      <c r="G32" s="35"/>
      <c r="H32" s="34"/>
      <c r="J32" s="76">
        <f t="shared" si="0"/>
        <v>0</v>
      </c>
      <c r="K32" s="39"/>
    </row>
    <row r="33" spans="2:11" ht="20.100000000000001" customHeight="1" x14ac:dyDescent="0.25">
      <c r="B33" s="6"/>
      <c r="C33" s="64"/>
      <c r="D33" s="4"/>
      <c r="E33" s="43"/>
      <c r="F33" s="35"/>
      <c r="G33" s="35"/>
      <c r="H33" s="34"/>
      <c r="J33" s="76">
        <f t="shared" si="0"/>
        <v>0</v>
      </c>
      <c r="K33" s="39"/>
    </row>
    <row r="34" spans="2:11" ht="20.100000000000001" customHeight="1" x14ac:dyDescent="0.25">
      <c r="B34" s="6"/>
      <c r="C34" s="64"/>
      <c r="D34" s="4"/>
      <c r="E34" s="43"/>
      <c r="F34" s="35"/>
      <c r="G34" s="35"/>
      <c r="H34" s="34"/>
      <c r="J34" s="76">
        <f t="shared" si="0"/>
        <v>0</v>
      </c>
      <c r="K34" s="39"/>
    </row>
    <row r="35" spans="2:11" ht="20.100000000000001" customHeight="1" x14ac:dyDescent="0.25">
      <c r="B35" s="11"/>
      <c r="C35" s="64"/>
      <c r="D35" s="4"/>
      <c r="E35" s="43"/>
      <c r="F35" s="35"/>
      <c r="G35" s="35"/>
      <c r="H35" s="34"/>
      <c r="J35" s="76">
        <f t="shared" si="0"/>
        <v>0</v>
      </c>
      <c r="K35" s="39"/>
    </row>
    <row r="36" spans="2:11" ht="20.100000000000001" customHeight="1" x14ac:dyDescent="0.25">
      <c r="B36" s="11"/>
      <c r="C36" s="64"/>
      <c r="D36" s="4"/>
      <c r="E36" s="43"/>
      <c r="F36" s="35"/>
      <c r="G36" s="35"/>
      <c r="H36" s="34"/>
      <c r="J36" s="76">
        <f t="shared" si="0"/>
        <v>0</v>
      </c>
      <c r="K36" s="39"/>
    </row>
    <row r="37" spans="2:11" ht="20.100000000000001" customHeight="1" x14ac:dyDescent="0.25">
      <c r="B37" s="11"/>
      <c r="C37" s="64"/>
      <c r="D37" s="4"/>
      <c r="E37" s="43"/>
      <c r="F37" s="35"/>
      <c r="G37" s="35"/>
      <c r="H37" s="34"/>
      <c r="J37" s="76">
        <f t="shared" si="0"/>
        <v>0</v>
      </c>
      <c r="K37" s="39"/>
    </row>
    <row r="38" spans="2:11" ht="20.100000000000001" customHeight="1" x14ac:dyDescent="0.25">
      <c r="B38" s="11"/>
      <c r="C38" s="64"/>
      <c r="D38" s="4"/>
      <c r="E38" s="43"/>
      <c r="F38" s="35"/>
      <c r="G38" s="35"/>
      <c r="H38" s="34"/>
      <c r="J38" s="76">
        <f t="shared" si="0"/>
        <v>0</v>
      </c>
      <c r="K38" s="39"/>
    </row>
    <row r="39" spans="2:11" ht="20.100000000000001" customHeight="1" x14ac:dyDescent="0.25">
      <c r="B39" s="11"/>
      <c r="C39" s="64"/>
      <c r="D39" s="4"/>
      <c r="E39" s="43"/>
      <c r="F39" s="35"/>
      <c r="G39" s="35"/>
      <c r="H39" s="34"/>
      <c r="J39" s="76">
        <f t="shared" si="0"/>
        <v>0</v>
      </c>
      <c r="K39" s="39"/>
    </row>
    <row r="40" spans="2:11" ht="20.100000000000001" customHeight="1" x14ac:dyDescent="0.25">
      <c r="B40" s="11"/>
      <c r="C40" s="64"/>
      <c r="D40" s="4"/>
      <c r="E40" s="43"/>
      <c r="F40" s="35"/>
      <c r="G40" s="35"/>
      <c r="H40" s="34"/>
      <c r="J40" s="76">
        <f t="shared" si="0"/>
        <v>0</v>
      </c>
      <c r="K40" s="39"/>
    </row>
    <row r="41" spans="2:11" ht="20.100000000000001" customHeight="1" x14ac:dyDescent="0.25">
      <c r="B41" s="11"/>
      <c r="C41" s="64"/>
      <c r="D41" s="4"/>
      <c r="E41" s="43"/>
      <c r="F41" s="35"/>
      <c r="G41" s="35"/>
      <c r="H41" s="34"/>
      <c r="J41" s="76">
        <f t="shared" si="0"/>
        <v>0</v>
      </c>
      <c r="K41" s="39"/>
    </row>
    <row r="42" spans="2:11" ht="20.100000000000001" customHeight="1" x14ac:dyDescent="0.25">
      <c r="B42" s="11"/>
      <c r="C42" s="64"/>
      <c r="D42" s="4"/>
      <c r="E42" s="43"/>
      <c r="F42" s="35"/>
      <c r="G42" s="35"/>
      <c r="H42" s="34"/>
      <c r="J42" s="76">
        <f t="shared" si="0"/>
        <v>0</v>
      </c>
      <c r="K42" s="39"/>
    </row>
    <row r="43" spans="2:11" ht="20.100000000000001" customHeight="1" x14ac:dyDescent="0.25">
      <c r="B43" s="11"/>
      <c r="C43" s="64"/>
      <c r="D43" s="4"/>
      <c r="E43" s="43"/>
      <c r="F43" s="35"/>
      <c r="G43" s="35"/>
      <c r="H43" s="34"/>
      <c r="J43" s="76">
        <f t="shared" si="0"/>
        <v>0</v>
      </c>
      <c r="K43" s="39"/>
    </row>
    <row r="44" spans="2:11" ht="20.100000000000001" customHeight="1" x14ac:dyDescent="0.25">
      <c r="B44" s="11"/>
      <c r="C44" s="64"/>
      <c r="D44" s="4"/>
      <c r="E44" s="43"/>
      <c r="F44" s="35"/>
      <c r="G44" s="35"/>
      <c r="H44" s="34"/>
      <c r="J44" s="76">
        <f t="shared" si="0"/>
        <v>0</v>
      </c>
      <c r="K44" s="39"/>
    </row>
    <row r="45" spans="2:11" ht="20.100000000000001" customHeight="1" x14ac:dyDescent="0.25">
      <c r="B45" s="11"/>
      <c r="C45" s="64"/>
      <c r="D45" s="4"/>
      <c r="E45" s="43"/>
      <c r="F45" s="35"/>
      <c r="G45" s="35"/>
      <c r="H45" s="34"/>
      <c r="J45" s="76">
        <f t="shared" si="0"/>
        <v>0</v>
      </c>
      <c r="K45" s="39"/>
    </row>
    <row r="46" spans="2:11" ht="20.100000000000001" customHeight="1" x14ac:dyDescent="0.25">
      <c r="B46" s="11"/>
      <c r="C46" s="64"/>
      <c r="D46" s="4"/>
      <c r="E46" s="43"/>
      <c r="F46" s="35"/>
      <c r="G46" s="35"/>
      <c r="H46" s="34"/>
      <c r="J46" s="76">
        <f t="shared" si="0"/>
        <v>0</v>
      </c>
      <c r="K46" s="39"/>
    </row>
    <row r="47" spans="2:11" ht="20.100000000000001" customHeight="1" x14ac:dyDescent="0.25">
      <c r="B47" s="11"/>
      <c r="C47" s="64"/>
      <c r="D47" s="4"/>
      <c r="E47" s="43"/>
      <c r="F47" s="35"/>
      <c r="G47" s="35"/>
      <c r="H47" s="34"/>
      <c r="J47" s="76">
        <f t="shared" si="0"/>
        <v>0</v>
      </c>
      <c r="K47" s="39"/>
    </row>
    <row r="48" spans="2:11" ht="20.100000000000001" customHeight="1" x14ac:dyDescent="0.25">
      <c r="B48" s="11"/>
      <c r="C48" s="64"/>
      <c r="D48" s="4"/>
      <c r="E48" s="43"/>
      <c r="F48" s="35"/>
      <c r="G48" s="35"/>
      <c r="H48" s="34"/>
      <c r="J48" s="76">
        <f t="shared" si="0"/>
        <v>0</v>
      </c>
      <c r="K48" s="39"/>
    </row>
    <row r="49" spans="2:11" ht="20.100000000000001" customHeight="1" x14ac:dyDescent="0.25">
      <c r="B49" s="11"/>
      <c r="C49" s="64"/>
      <c r="D49" s="4"/>
      <c r="E49" s="43"/>
      <c r="F49" s="35"/>
      <c r="G49" s="35"/>
      <c r="H49" s="34"/>
      <c r="J49" s="76">
        <f t="shared" si="0"/>
        <v>0</v>
      </c>
      <c r="K49" s="39"/>
    </row>
    <row r="50" spans="2:11" ht="20.100000000000001" customHeight="1" x14ac:dyDescent="0.25">
      <c r="B50" s="11"/>
      <c r="C50" s="64"/>
      <c r="D50" s="4"/>
      <c r="E50" s="43"/>
      <c r="F50" s="35"/>
      <c r="G50" s="35"/>
      <c r="H50" s="34"/>
      <c r="J50" s="76">
        <f t="shared" si="0"/>
        <v>0</v>
      </c>
      <c r="K50" s="39"/>
    </row>
    <row r="51" spans="2:11" ht="20.100000000000001" customHeight="1" x14ac:dyDescent="0.25">
      <c r="B51" s="11"/>
      <c r="C51" s="64"/>
      <c r="D51" s="4"/>
      <c r="E51" s="43"/>
      <c r="F51" s="35"/>
      <c r="G51" s="35"/>
      <c r="H51" s="34"/>
      <c r="J51" s="76">
        <f t="shared" si="0"/>
        <v>0</v>
      </c>
      <c r="K51" s="39"/>
    </row>
    <row r="52" spans="2:11" ht="20.100000000000001" customHeight="1" x14ac:dyDescent="0.25">
      <c r="B52" s="11"/>
      <c r="C52" s="64"/>
      <c r="D52" s="4"/>
      <c r="E52" s="43"/>
      <c r="F52" s="35"/>
      <c r="G52" s="35"/>
      <c r="H52" s="34"/>
      <c r="J52" s="76">
        <f t="shared" si="0"/>
        <v>0</v>
      </c>
      <c r="K52" s="39"/>
    </row>
    <row r="53" spans="2:11" ht="20.100000000000001" customHeight="1" x14ac:dyDescent="0.25">
      <c r="B53" s="11"/>
      <c r="C53" s="64"/>
      <c r="D53" s="4"/>
      <c r="E53" s="43"/>
      <c r="F53" s="35"/>
      <c r="G53" s="35"/>
      <c r="H53" s="34"/>
      <c r="J53" s="76">
        <f t="shared" si="0"/>
        <v>0</v>
      </c>
      <c r="K53" s="39"/>
    </row>
    <row r="54" spans="2:11" ht="20.100000000000001" customHeight="1" x14ac:dyDescent="0.25">
      <c r="B54" s="11"/>
      <c r="C54" s="64"/>
      <c r="D54" s="4"/>
      <c r="E54" s="43"/>
      <c r="F54" s="35"/>
      <c r="G54" s="35"/>
      <c r="H54" s="34"/>
      <c r="J54" s="76">
        <f t="shared" si="0"/>
        <v>0</v>
      </c>
      <c r="K54" s="39"/>
    </row>
    <row r="55" spans="2:11" ht="20.100000000000001" customHeight="1" x14ac:dyDescent="0.25">
      <c r="B55" s="11"/>
      <c r="C55" s="64"/>
      <c r="D55" s="4"/>
      <c r="E55" s="43"/>
      <c r="F55" s="35"/>
      <c r="G55" s="35"/>
      <c r="H55" s="34"/>
      <c r="J55" s="76">
        <f t="shared" si="0"/>
        <v>0</v>
      </c>
      <c r="K55" s="39"/>
    </row>
    <row r="56" spans="2:11" ht="20.100000000000001" customHeight="1" x14ac:dyDescent="0.25">
      <c r="B56" s="11"/>
      <c r="C56" s="64"/>
      <c r="D56" s="4"/>
      <c r="E56" s="43"/>
      <c r="F56" s="35"/>
      <c r="G56" s="35"/>
      <c r="H56" s="34"/>
      <c r="J56" s="76">
        <f t="shared" si="0"/>
        <v>0</v>
      </c>
      <c r="K56" s="39"/>
    </row>
    <row r="57" spans="2:11" ht="20.100000000000001" customHeight="1" x14ac:dyDescent="0.25">
      <c r="B57" s="11"/>
      <c r="C57" s="64"/>
      <c r="D57" s="4"/>
      <c r="E57" s="43"/>
      <c r="F57" s="35"/>
      <c r="G57" s="35"/>
      <c r="H57" s="34"/>
      <c r="J57" s="76">
        <f t="shared" si="0"/>
        <v>0</v>
      </c>
      <c r="K57" s="39"/>
    </row>
    <row r="58" spans="2:11" ht="20.100000000000001" customHeight="1" x14ac:dyDescent="0.25">
      <c r="B58" s="11"/>
      <c r="C58" s="64"/>
      <c r="D58" s="4"/>
      <c r="E58" s="43"/>
      <c r="F58" s="35"/>
      <c r="G58" s="35"/>
      <c r="H58" s="34"/>
      <c r="J58" s="76">
        <f t="shared" si="0"/>
        <v>0</v>
      </c>
      <c r="K58" s="39"/>
    </row>
    <row r="59" spans="2:11" ht="20.100000000000001" customHeight="1" x14ac:dyDescent="0.25">
      <c r="B59" s="11"/>
      <c r="C59" s="64"/>
      <c r="D59" s="4"/>
      <c r="E59" s="43"/>
      <c r="F59" s="35"/>
      <c r="G59" s="35"/>
      <c r="H59" s="34"/>
      <c r="J59" s="76">
        <f t="shared" si="0"/>
        <v>0</v>
      </c>
      <c r="K59" s="39"/>
    </row>
    <row r="60" spans="2:11" ht="20.100000000000001" customHeight="1" x14ac:dyDescent="0.25">
      <c r="B60" s="11"/>
      <c r="C60" s="64"/>
      <c r="D60" s="4"/>
      <c r="E60" s="43"/>
      <c r="F60" s="35"/>
      <c r="G60" s="35"/>
      <c r="H60" s="34"/>
      <c r="J60" s="76">
        <f t="shared" si="0"/>
        <v>0</v>
      </c>
      <c r="K60" s="39"/>
    </row>
    <row r="61" spans="2:11" ht="20.100000000000001" customHeight="1" x14ac:dyDescent="0.25">
      <c r="B61" s="11"/>
      <c r="C61" s="64"/>
      <c r="D61" s="4"/>
      <c r="E61" s="43"/>
      <c r="F61" s="35"/>
      <c r="G61" s="35"/>
      <c r="H61" s="34"/>
      <c r="J61" s="76">
        <f t="shared" si="0"/>
        <v>0</v>
      </c>
      <c r="K61" s="39"/>
    </row>
    <row r="62" spans="2:11" ht="20.100000000000001" customHeight="1" x14ac:dyDescent="0.25">
      <c r="B62" s="11"/>
      <c r="C62" s="64"/>
      <c r="D62" s="4"/>
      <c r="E62" s="43"/>
      <c r="F62" s="35"/>
      <c r="G62" s="35"/>
      <c r="H62" s="34"/>
      <c r="J62" s="76">
        <f t="shared" si="0"/>
        <v>0</v>
      </c>
      <c r="K62" s="39"/>
    </row>
    <row r="63" spans="2:11" ht="20.100000000000001" customHeight="1" x14ac:dyDescent="0.25">
      <c r="B63" s="11"/>
      <c r="C63" s="64"/>
      <c r="D63" s="4"/>
      <c r="E63" s="43"/>
      <c r="F63" s="35"/>
      <c r="G63" s="35"/>
      <c r="H63" s="34"/>
      <c r="J63" s="76">
        <f t="shared" si="0"/>
        <v>0</v>
      </c>
      <c r="K63" s="39"/>
    </row>
    <row r="64" spans="2:11" ht="20.100000000000001" customHeight="1" x14ac:dyDescent="0.25">
      <c r="B64" s="11"/>
      <c r="C64" s="64"/>
      <c r="D64" s="4"/>
      <c r="E64" s="43"/>
      <c r="F64" s="35"/>
      <c r="G64" s="35"/>
      <c r="H64" s="34"/>
      <c r="J64" s="76">
        <f t="shared" si="0"/>
        <v>0</v>
      </c>
      <c r="K64" s="39"/>
    </row>
    <row r="65" spans="2:11" ht="20.100000000000001" customHeight="1" x14ac:dyDescent="0.25">
      <c r="B65" s="11"/>
      <c r="C65" s="64"/>
      <c r="D65" s="4"/>
      <c r="E65" s="43"/>
      <c r="F65" s="35"/>
      <c r="G65" s="35"/>
      <c r="H65" s="34"/>
      <c r="J65" s="76">
        <f t="shared" si="0"/>
        <v>0</v>
      </c>
      <c r="K65" s="39"/>
    </row>
    <row r="66" spans="2:11" ht="20.100000000000001" customHeight="1" x14ac:dyDescent="0.25">
      <c r="B66" s="11"/>
      <c r="C66" s="64"/>
      <c r="D66" s="4"/>
      <c r="E66" s="43"/>
      <c r="F66" s="35"/>
      <c r="G66" s="35"/>
      <c r="H66" s="34"/>
      <c r="J66" s="76">
        <f t="shared" si="0"/>
        <v>0</v>
      </c>
      <c r="K66" s="39"/>
    </row>
    <row r="67" spans="2:11" ht="20.100000000000001" customHeight="1" x14ac:dyDescent="0.25">
      <c r="B67" s="11"/>
      <c r="C67" s="64"/>
      <c r="D67" s="4"/>
      <c r="E67" s="43"/>
      <c r="F67" s="35"/>
      <c r="G67" s="35"/>
      <c r="H67" s="34"/>
      <c r="J67" s="76">
        <f t="shared" si="0"/>
        <v>0</v>
      </c>
      <c r="K67" s="39"/>
    </row>
    <row r="68" spans="2:11" ht="20.100000000000001" customHeight="1" x14ac:dyDescent="0.25">
      <c r="B68" s="11"/>
      <c r="C68" s="64"/>
      <c r="D68" s="4"/>
      <c r="E68" s="43"/>
      <c r="F68" s="35"/>
      <c r="G68" s="35"/>
      <c r="H68" s="34"/>
      <c r="J68" s="76">
        <f t="shared" si="0"/>
        <v>0</v>
      </c>
      <c r="K68" s="39"/>
    </row>
    <row r="69" spans="2:11" ht="20.100000000000001" customHeight="1" x14ac:dyDescent="0.25">
      <c r="B69" s="11"/>
      <c r="C69" s="64"/>
      <c r="D69" s="4"/>
      <c r="E69" s="43"/>
      <c r="F69" s="35"/>
      <c r="G69" s="35"/>
      <c r="H69" s="34"/>
      <c r="J69" s="76">
        <f t="shared" si="0"/>
        <v>0</v>
      </c>
      <c r="K69" s="39"/>
    </row>
    <row r="70" spans="2:11" ht="20.100000000000001" customHeight="1" x14ac:dyDescent="0.25">
      <c r="B70" s="11"/>
      <c r="C70" s="64"/>
      <c r="D70" s="4"/>
      <c r="E70" s="43"/>
      <c r="F70" s="35"/>
      <c r="G70" s="35"/>
      <c r="H70" s="34"/>
      <c r="J70" s="76">
        <f t="shared" si="0"/>
        <v>0</v>
      </c>
      <c r="K70" s="39"/>
    </row>
    <row r="71" spans="2:11" ht="20.100000000000001" customHeight="1" x14ac:dyDescent="0.25">
      <c r="B71" s="11"/>
      <c r="C71" s="64"/>
      <c r="D71" s="4"/>
      <c r="E71" s="43"/>
      <c r="F71" s="35"/>
      <c r="G71" s="35"/>
      <c r="H71" s="34"/>
      <c r="J71" s="76">
        <f t="shared" si="0"/>
        <v>0</v>
      </c>
      <c r="K71" s="39"/>
    </row>
    <row r="72" spans="2:11" ht="20.100000000000001" customHeight="1" x14ac:dyDescent="0.25">
      <c r="B72" s="11"/>
      <c r="C72" s="64"/>
      <c r="D72" s="4"/>
      <c r="E72" s="43"/>
      <c r="F72" s="35"/>
      <c r="G72" s="35"/>
      <c r="H72" s="34"/>
      <c r="J72" s="76">
        <f t="shared" ref="J72:J135" si="1">J71+F72-G72</f>
        <v>0</v>
      </c>
      <c r="K72" s="39"/>
    </row>
    <row r="73" spans="2:11" ht="20.100000000000001" customHeight="1" x14ac:dyDescent="0.25">
      <c r="B73" s="11"/>
      <c r="C73" s="64"/>
      <c r="D73" s="4"/>
      <c r="E73" s="43"/>
      <c r="F73" s="35"/>
      <c r="G73" s="35"/>
      <c r="H73" s="34"/>
      <c r="J73" s="76">
        <f t="shared" si="1"/>
        <v>0</v>
      </c>
      <c r="K73" s="39"/>
    </row>
    <row r="74" spans="2:11" ht="20.100000000000001" customHeight="1" x14ac:dyDescent="0.25">
      <c r="B74" s="11"/>
      <c r="C74" s="64"/>
      <c r="D74" s="4"/>
      <c r="E74" s="43"/>
      <c r="F74" s="35"/>
      <c r="G74" s="35"/>
      <c r="H74" s="34"/>
      <c r="J74" s="76">
        <f t="shared" si="1"/>
        <v>0</v>
      </c>
      <c r="K74" s="39"/>
    </row>
    <row r="75" spans="2:11" ht="20.100000000000001" customHeight="1" x14ac:dyDescent="0.25">
      <c r="B75" s="11"/>
      <c r="C75" s="64"/>
      <c r="D75" s="4"/>
      <c r="E75" s="43"/>
      <c r="F75" s="35"/>
      <c r="G75" s="35"/>
      <c r="H75" s="34"/>
      <c r="J75" s="76">
        <f t="shared" si="1"/>
        <v>0</v>
      </c>
      <c r="K75" s="39"/>
    </row>
    <row r="76" spans="2:11" ht="20.100000000000001" customHeight="1" x14ac:dyDescent="0.25">
      <c r="B76" s="11"/>
      <c r="C76" s="64"/>
      <c r="D76" s="4"/>
      <c r="E76" s="43"/>
      <c r="F76" s="35"/>
      <c r="G76" s="35"/>
      <c r="H76" s="34"/>
      <c r="J76" s="76">
        <f t="shared" si="1"/>
        <v>0</v>
      </c>
      <c r="K76" s="39"/>
    </row>
    <row r="77" spans="2:11" ht="20.100000000000001" customHeight="1" x14ac:dyDescent="0.25">
      <c r="B77" s="11"/>
      <c r="C77" s="64"/>
      <c r="D77" s="4"/>
      <c r="E77" s="43"/>
      <c r="F77" s="35"/>
      <c r="G77" s="35"/>
      <c r="H77" s="34"/>
      <c r="J77" s="76">
        <f t="shared" si="1"/>
        <v>0</v>
      </c>
      <c r="K77" s="39"/>
    </row>
    <row r="78" spans="2:11" ht="20.100000000000001" customHeight="1" x14ac:dyDescent="0.25">
      <c r="B78" s="11"/>
      <c r="C78" s="64"/>
      <c r="D78" s="4"/>
      <c r="E78" s="43"/>
      <c r="F78" s="35"/>
      <c r="G78" s="35"/>
      <c r="H78" s="34"/>
      <c r="J78" s="76">
        <f t="shared" si="1"/>
        <v>0</v>
      </c>
      <c r="K78" s="39"/>
    </row>
    <row r="79" spans="2:11" ht="20.100000000000001" customHeight="1" x14ac:dyDescent="0.25">
      <c r="B79" s="11"/>
      <c r="C79" s="64"/>
      <c r="D79" s="4"/>
      <c r="E79" s="43"/>
      <c r="F79" s="35"/>
      <c r="G79" s="35"/>
      <c r="H79" s="34"/>
      <c r="J79" s="76">
        <f t="shared" si="1"/>
        <v>0</v>
      </c>
      <c r="K79" s="39"/>
    </row>
    <row r="80" spans="2:11" ht="20.100000000000001" customHeight="1" x14ac:dyDescent="0.25">
      <c r="B80" s="11"/>
      <c r="C80" s="64"/>
      <c r="D80" s="4"/>
      <c r="E80" s="43"/>
      <c r="F80" s="35"/>
      <c r="G80" s="35"/>
      <c r="H80" s="34"/>
      <c r="J80" s="76">
        <f t="shared" si="1"/>
        <v>0</v>
      </c>
      <c r="K80" s="39"/>
    </row>
    <row r="81" spans="2:11" ht="20.100000000000001" customHeight="1" x14ac:dyDescent="0.25">
      <c r="B81" s="11"/>
      <c r="C81" s="64"/>
      <c r="D81" s="4"/>
      <c r="E81" s="43"/>
      <c r="F81" s="35"/>
      <c r="G81" s="35"/>
      <c r="H81" s="34"/>
      <c r="J81" s="76">
        <f t="shared" si="1"/>
        <v>0</v>
      </c>
      <c r="K81" s="39"/>
    </row>
    <row r="82" spans="2:11" ht="20.100000000000001" customHeight="1" x14ac:dyDescent="0.25">
      <c r="B82" s="11"/>
      <c r="C82" s="64"/>
      <c r="D82" s="4"/>
      <c r="E82" s="43"/>
      <c r="F82" s="35"/>
      <c r="G82" s="35"/>
      <c r="H82" s="34"/>
      <c r="J82" s="76">
        <f t="shared" si="1"/>
        <v>0</v>
      </c>
      <c r="K82" s="39"/>
    </row>
    <row r="83" spans="2:11" ht="20.100000000000001" customHeight="1" x14ac:dyDescent="0.25">
      <c r="B83" s="11"/>
      <c r="C83" s="64"/>
      <c r="D83" s="4"/>
      <c r="E83" s="43"/>
      <c r="F83" s="35"/>
      <c r="G83" s="35"/>
      <c r="H83" s="34"/>
      <c r="J83" s="76">
        <f t="shared" si="1"/>
        <v>0</v>
      </c>
      <c r="K83" s="39"/>
    </row>
    <row r="84" spans="2:11" ht="20.100000000000001" customHeight="1" x14ac:dyDescent="0.25">
      <c r="B84" s="11"/>
      <c r="C84" s="64"/>
      <c r="D84" s="4"/>
      <c r="E84" s="43"/>
      <c r="F84" s="35"/>
      <c r="G84" s="35"/>
      <c r="H84" s="34"/>
      <c r="J84" s="76">
        <f t="shared" si="1"/>
        <v>0</v>
      </c>
      <c r="K84" s="39"/>
    </row>
    <row r="85" spans="2:11" ht="20.100000000000001" customHeight="1" x14ac:dyDescent="0.25">
      <c r="B85" s="11"/>
      <c r="C85" s="64"/>
      <c r="D85" s="4"/>
      <c r="E85" s="43"/>
      <c r="F85" s="35"/>
      <c r="G85" s="35"/>
      <c r="H85" s="34"/>
      <c r="J85" s="76">
        <f t="shared" si="1"/>
        <v>0</v>
      </c>
      <c r="K85" s="39"/>
    </row>
    <row r="86" spans="2:11" ht="20.100000000000001" customHeight="1" x14ac:dyDescent="0.25">
      <c r="B86" s="11"/>
      <c r="C86" s="64"/>
      <c r="D86" s="4"/>
      <c r="E86" s="43"/>
      <c r="F86" s="35"/>
      <c r="G86" s="35"/>
      <c r="H86" s="34"/>
      <c r="J86" s="76">
        <f t="shared" si="1"/>
        <v>0</v>
      </c>
      <c r="K86" s="39"/>
    </row>
    <row r="87" spans="2:11" ht="20.100000000000001" customHeight="1" x14ac:dyDescent="0.25">
      <c r="B87" s="11"/>
      <c r="C87" s="64"/>
      <c r="D87" s="4"/>
      <c r="E87" s="43"/>
      <c r="F87" s="35"/>
      <c r="G87" s="35"/>
      <c r="H87" s="34"/>
      <c r="J87" s="76">
        <f t="shared" si="1"/>
        <v>0</v>
      </c>
      <c r="K87" s="39"/>
    </row>
    <row r="88" spans="2:11" ht="20.100000000000001" customHeight="1" x14ac:dyDescent="0.25">
      <c r="B88" s="11"/>
      <c r="C88" s="64"/>
      <c r="D88" s="4"/>
      <c r="E88" s="43"/>
      <c r="F88" s="35"/>
      <c r="G88" s="35"/>
      <c r="H88" s="34"/>
      <c r="J88" s="76">
        <f t="shared" si="1"/>
        <v>0</v>
      </c>
      <c r="K88" s="39"/>
    </row>
    <row r="89" spans="2:11" ht="20.100000000000001" customHeight="1" x14ac:dyDescent="0.25">
      <c r="B89" s="11"/>
      <c r="C89" s="64"/>
      <c r="D89" s="4"/>
      <c r="E89" s="43"/>
      <c r="F89" s="35"/>
      <c r="G89" s="35"/>
      <c r="H89" s="34"/>
      <c r="J89" s="76">
        <f t="shared" si="1"/>
        <v>0</v>
      </c>
      <c r="K89" s="39"/>
    </row>
    <row r="90" spans="2:11" ht="20.100000000000001" customHeight="1" x14ac:dyDescent="0.25">
      <c r="B90" s="11"/>
      <c r="C90" s="64"/>
      <c r="D90" s="4"/>
      <c r="E90" s="43"/>
      <c r="F90" s="35"/>
      <c r="G90" s="35"/>
      <c r="H90" s="34"/>
      <c r="J90" s="76">
        <f t="shared" si="1"/>
        <v>0</v>
      </c>
      <c r="K90" s="39"/>
    </row>
    <row r="91" spans="2:11" ht="20.100000000000001" customHeight="1" x14ac:dyDescent="0.25">
      <c r="B91" s="11"/>
      <c r="C91" s="64"/>
      <c r="D91" s="4"/>
      <c r="E91" s="43"/>
      <c r="F91" s="35"/>
      <c r="G91" s="35"/>
      <c r="H91" s="34"/>
      <c r="J91" s="76">
        <f t="shared" si="1"/>
        <v>0</v>
      </c>
      <c r="K91" s="39"/>
    </row>
    <row r="92" spans="2:11" ht="20.100000000000001" customHeight="1" x14ac:dyDescent="0.25">
      <c r="B92" s="11"/>
      <c r="C92" s="64"/>
      <c r="D92" s="4"/>
      <c r="E92" s="43"/>
      <c r="F92" s="35"/>
      <c r="G92" s="35"/>
      <c r="H92" s="34"/>
      <c r="J92" s="76">
        <f t="shared" si="1"/>
        <v>0</v>
      </c>
      <c r="K92" s="39"/>
    </row>
    <row r="93" spans="2:11" ht="20.100000000000001" customHeight="1" x14ac:dyDescent="0.25">
      <c r="B93" s="11"/>
      <c r="C93" s="64"/>
      <c r="D93" s="4"/>
      <c r="E93" s="43"/>
      <c r="F93" s="35"/>
      <c r="G93" s="35"/>
      <c r="H93" s="34"/>
      <c r="J93" s="76">
        <f t="shared" si="1"/>
        <v>0</v>
      </c>
      <c r="K93" s="39"/>
    </row>
    <row r="94" spans="2:11" ht="20.100000000000001" customHeight="1" x14ac:dyDescent="0.25">
      <c r="B94" s="11"/>
      <c r="C94" s="64"/>
      <c r="D94" s="4"/>
      <c r="E94" s="43"/>
      <c r="F94" s="35"/>
      <c r="G94" s="35"/>
      <c r="H94" s="34"/>
      <c r="J94" s="76">
        <f t="shared" si="1"/>
        <v>0</v>
      </c>
      <c r="K94" s="39"/>
    </row>
    <row r="95" spans="2:11" ht="20.100000000000001" customHeight="1" x14ac:dyDescent="0.25">
      <c r="B95" s="11"/>
      <c r="C95" s="64"/>
      <c r="D95" s="4"/>
      <c r="E95" s="43"/>
      <c r="F95" s="35"/>
      <c r="G95" s="35"/>
      <c r="H95" s="34"/>
      <c r="J95" s="76">
        <f t="shared" si="1"/>
        <v>0</v>
      </c>
      <c r="K95" s="39"/>
    </row>
    <row r="96" spans="2:11" ht="20.100000000000001" customHeight="1" x14ac:dyDescent="0.25">
      <c r="B96" s="11"/>
      <c r="C96" s="64"/>
      <c r="D96" s="4"/>
      <c r="E96" s="43"/>
      <c r="F96" s="35"/>
      <c r="G96" s="35"/>
      <c r="H96" s="34"/>
      <c r="J96" s="76">
        <f t="shared" si="1"/>
        <v>0</v>
      </c>
      <c r="K96" s="39"/>
    </row>
    <row r="97" spans="2:11" ht="20.100000000000001" customHeight="1" x14ac:dyDescent="0.25">
      <c r="B97" s="11"/>
      <c r="C97" s="64"/>
      <c r="D97" s="4"/>
      <c r="E97" s="43"/>
      <c r="F97" s="35"/>
      <c r="G97" s="35"/>
      <c r="H97" s="34"/>
      <c r="J97" s="76">
        <f t="shared" si="1"/>
        <v>0</v>
      </c>
      <c r="K97" s="39"/>
    </row>
    <row r="98" spans="2:11" ht="20.100000000000001" customHeight="1" x14ac:dyDescent="0.25">
      <c r="B98" s="11"/>
      <c r="C98" s="64"/>
      <c r="D98" s="4"/>
      <c r="E98" s="43"/>
      <c r="F98" s="35"/>
      <c r="G98" s="35"/>
      <c r="H98" s="34"/>
      <c r="J98" s="76">
        <f t="shared" si="1"/>
        <v>0</v>
      </c>
      <c r="K98" s="39"/>
    </row>
    <row r="99" spans="2:11" ht="20.100000000000001" customHeight="1" x14ac:dyDescent="0.25">
      <c r="B99" s="11"/>
      <c r="C99" s="64"/>
      <c r="D99" s="4"/>
      <c r="E99" s="43"/>
      <c r="F99" s="35"/>
      <c r="G99" s="35"/>
      <c r="H99" s="34"/>
      <c r="J99" s="76">
        <f t="shared" si="1"/>
        <v>0</v>
      </c>
      <c r="K99" s="39"/>
    </row>
    <row r="100" spans="2:11" ht="20.100000000000001" customHeight="1" x14ac:dyDescent="0.25">
      <c r="B100" s="11"/>
      <c r="C100" s="64"/>
      <c r="D100" s="4"/>
      <c r="E100" s="43"/>
      <c r="F100" s="35"/>
      <c r="G100" s="35"/>
      <c r="H100" s="34"/>
      <c r="J100" s="76">
        <f t="shared" si="1"/>
        <v>0</v>
      </c>
      <c r="K100" s="39"/>
    </row>
    <row r="101" spans="2:11" ht="20.100000000000001" customHeight="1" x14ac:dyDescent="0.25">
      <c r="B101" s="11"/>
      <c r="C101" s="64"/>
      <c r="D101" s="4"/>
      <c r="E101" s="43"/>
      <c r="F101" s="35"/>
      <c r="G101" s="35"/>
      <c r="H101" s="34"/>
      <c r="J101" s="76">
        <f t="shared" si="1"/>
        <v>0</v>
      </c>
      <c r="K101" s="39"/>
    </row>
    <row r="102" spans="2:11" ht="20.100000000000001" customHeight="1" x14ac:dyDescent="0.25">
      <c r="B102" s="11"/>
      <c r="C102" s="64"/>
      <c r="D102" s="4"/>
      <c r="E102" s="43"/>
      <c r="F102" s="35"/>
      <c r="G102" s="35"/>
      <c r="H102" s="34"/>
      <c r="J102" s="76">
        <f t="shared" si="1"/>
        <v>0</v>
      </c>
      <c r="K102" s="39"/>
    </row>
    <row r="103" spans="2:11" ht="20.100000000000001" customHeight="1" x14ac:dyDescent="0.25">
      <c r="B103" s="11"/>
      <c r="C103" s="64"/>
      <c r="D103" s="4"/>
      <c r="E103" s="43"/>
      <c r="F103" s="35"/>
      <c r="G103" s="35"/>
      <c r="H103" s="34"/>
      <c r="J103" s="76">
        <f t="shared" si="1"/>
        <v>0</v>
      </c>
      <c r="K103" s="39"/>
    </row>
    <row r="104" spans="2:11" ht="20.100000000000001" customHeight="1" x14ac:dyDescent="0.25">
      <c r="B104" s="11"/>
      <c r="C104" s="64"/>
      <c r="D104" s="4"/>
      <c r="E104" s="43"/>
      <c r="F104" s="35"/>
      <c r="G104" s="35"/>
      <c r="H104" s="34"/>
      <c r="J104" s="76">
        <f t="shared" si="1"/>
        <v>0</v>
      </c>
      <c r="K104" s="39"/>
    </row>
    <row r="105" spans="2:11" ht="20.100000000000001" customHeight="1" x14ac:dyDescent="0.25">
      <c r="B105" s="11"/>
      <c r="C105" s="64"/>
      <c r="D105" s="4"/>
      <c r="E105" s="43"/>
      <c r="F105" s="35"/>
      <c r="G105" s="35"/>
      <c r="H105" s="34"/>
      <c r="J105" s="76">
        <f t="shared" si="1"/>
        <v>0</v>
      </c>
      <c r="K105" s="39"/>
    </row>
    <row r="106" spans="2:11" ht="20.100000000000001" customHeight="1" x14ac:dyDescent="0.25">
      <c r="B106" s="11"/>
      <c r="C106" s="64"/>
      <c r="D106" s="4"/>
      <c r="E106" s="43"/>
      <c r="F106" s="35"/>
      <c r="G106" s="35"/>
      <c r="H106" s="34"/>
      <c r="J106" s="76">
        <f t="shared" si="1"/>
        <v>0</v>
      </c>
      <c r="K106" s="39"/>
    </row>
    <row r="107" spans="2:11" ht="20.100000000000001" customHeight="1" x14ac:dyDescent="0.25">
      <c r="B107" s="11"/>
      <c r="C107" s="64"/>
      <c r="D107" s="4"/>
      <c r="E107" s="43"/>
      <c r="F107" s="35"/>
      <c r="G107" s="35"/>
      <c r="H107" s="34"/>
      <c r="J107" s="76">
        <f t="shared" si="1"/>
        <v>0</v>
      </c>
      <c r="K107" s="39"/>
    </row>
    <row r="108" spans="2:11" ht="20.100000000000001" customHeight="1" x14ac:dyDescent="0.25">
      <c r="B108" s="11"/>
      <c r="C108" s="64"/>
      <c r="D108" s="4"/>
      <c r="E108" s="43"/>
      <c r="F108" s="35"/>
      <c r="G108" s="35"/>
      <c r="H108" s="34"/>
      <c r="J108" s="76">
        <f t="shared" si="1"/>
        <v>0</v>
      </c>
      <c r="K108" s="39"/>
    </row>
    <row r="109" spans="2:11" ht="20.100000000000001" customHeight="1" x14ac:dyDescent="0.25">
      <c r="B109" s="11"/>
      <c r="C109" s="64"/>
      <c r="D109" s="4"/>
      <c r="E109" s="43"/>
      <c r="F109" s="35"/>
      <c r="G109" s="35"/>
      <c r="H109" s="34"/>
      <c r="J109" s="76">
        <f t="shared" si="1"/>
        <v>0</v>
      </c>
      <c r="K109" s="39"/>
    </row>
    <row r="110" spans="2:11" ht="20.100000000000001" customHeight="1" x14ac:dyDescent="0.25">
      <c r="B110" s="11"/>
      <c r="C110" s="64"/>
      <c r="D110" s="4"/>
      <c r="E110" s="43"/>
      <c r="F110" s="35"/>
      <c r="G110" s="35"/>
      <c r="H110" s="34"/>
      <c r="J110" s="76">
        <f t="shared" si="1"/>
        <v>0</v>
      </c>
      <c r="K110" s="39"/>
    </row>
    <row r="111" spans="2:11" ht="20.100000000000001" customHeight="1" x14ac:dyDescent="0.25">
      <c r="B111" s="11"/>
      <c r="C111" s="64"/>
      <c r="D111" s="4"/>
      <c r="E111" s="43"/>
      <c r="F111" s="35"/>
      <c r="G111" s="35"/>
      <c r="H111" s="34"/>
      <c r="J111" s="76">
        <f t="shared" si="1"/>
        <v>0</v>
      </c>
      <c r="K111" s="39"/>
    </row>
    <row r="112" spans="2:11" ht="20.100000000000001" customHeight="1" x14ac:dyDescent="0.25">
      <c r="B112" s="11"/>
      <c r="C112" s="64"/>
      <c r="D112" s="4"/>
      <c r="E112" s="43"/>
      <c r="F112" s="35"/>
      <c r="G112" s="35"/>
      <c r="H112" s="34"/>
      <c r="J112" s="76">
        <f t="shared" si="1"/>
        <v>0</v>
      </c>
      <c r="K112" s="39"/>
    </row>
    <row r="113" spans="2:11" ht="20.100000000000001" customHeight="1" x14ac:dyDescent="0.25">
      <c r="B113" s="11"/>
      <c r="C113" s="64"/>
      <c r="D113" s="4"/>
      <c r="E113" s="43"/>
      <c r="F113" s="35"/>
      <c r="G113" s="35"/>
      <c r="H113" s="34"/>
      <c r="J113" s="76">
        <f t="shared" si="1"/>
        <v>0</v>
      </c>
      <c r="K113" s="39"/>
    </row>
    <row r="114" spans="2:11" ht="20.100000000000001" customHeight="1" x14ac:dyDescent="0.25">
      <c r="B114" s="11"/>
      <c r="C114" s="66"/>
      <c r="D114" s="4"/>
      <c r="E114" s="43"/>
      <c r="F114" s="35"/>
      <c r="G114" s="35"/>
      <c r="H114" s="34"/>
      <c r="J114" s="76">
        <f t="shared" si="1"/>
        <v>0</v>
      </c>
      <c r="K114" s="39"/>
    </row>
    <row r="115" spans="2:11" ht="20.100000000000001" customHeight="1" x14ac:dyDescent="0.25">
      <c r="B115" s="11"/>
      <c r="C115" s="66"/>
      <c r="D115" s="4"/>
      <c r="E115" s="43"/>
      <c r="F115" s="35"/>
      <c r="G115" s="35"/>
      <c r="H115" s="34"/>
      <c r="J115" s="76">
        <f t="shared" si="1"/>
        <v>0</v>
      </c>
      <c r="K115" s="39"/>
    </row>
    <row r="116" spans="2:11" ht="20.100000000000001" customHeight="1" x14ac:dyDescent="0.25">
      <c r="B116" s="11"/>
      <c r="C116" s="66"/>
      <c r="D116" s="4"/>
      <c r="E116" s="43"/>
      <c r="F116" s="35"/>
      <c r="G116" s="35"/>
      <c r="H116" s="34"/>
      <c r="J116" s="76">
        <f t="shared" si="1"/>
        <v>0</v>
      </c>
      <c r="K116" s="39"/>
    </row>
    <row r="117" spans="2:11" ht="20.100000000000001" customHeight="1" x14ac:dyDescent="0.25">
      <c r="B117" s="11"/>
      <c r="C117" s="66"/>
      <c r="D117" s="4"/>
      <c r="E117" s="43"/>
      <c r="F117" s="35"/>
      <c r="G117" s="35"/>
      <c r="H117" s="34"/>
      <c r="J117" s="76">
        <f t="shared" si="1"/>
        <v>0</v>
      </c>
      <c r="K117" s="39"/>
    </row>
    <row r="118" spans="2:11" ht="20.100000000000001" customHeight="1" x14ac:dyDescent="0.25">
      <c r="B118" s="11"/>
      <c r="C118" s="66"/>
      <c r="D118" s="4"/>
      <c r="E118" s="43"/>
      <c r="F118" s="35"/>
      <c r="G118" s="35"/>
      <c r="H118" s="34"/>
      <c r="J118" s="76">
        <f t="shared" si="1"/>
        <v>0</v>
      </c>
      <c r="K118" s="39"/>
    </row>
    <row r="119" spans="2:11" ht="20.100000000000001" customHeight="1" x14ac:dyDescent="0.25">
      <c r="B119" s="11"/>
      <c r="C119" s="66"/>
      <c r="D119" s="4"/>
      <c r="E119" s="43"/>
      <c r="F119" s="35"/>
      <c r="G119" s="35"/>
      <c r="H119" s="34"/>
      <c r="J119" s="76">
        <f t="shared" si="1"/>
        <v>0</v>
      </c>
      <c r="K119" s="39"/>
    </row>
    <row r="120" spans="2:11" ht="20.100000000000001" customHeight="1" x14ac:dyDescent="0.25">
      <c r="B120" s="11"/>
      <c r="C120" s="66"/>
      <c r="D120" s="4"/>
      <c r="E120" s="43"/>
      <c r="F120" s="35"/>
      <c r="G120" s="35"/>
      <c r="H120" s="34"/>
      <c r="J120" s="76">
        <f t="shared" si="1"/>
        <v>0</v>
      </c>
      <c r="K120" s="39"/>
    </row>
    <row r="121" spans="2:11" ht="20.100000000000001" customHeight="1" x14ac:dyDescent="0.25">
      <c r="B121" s="11"/>
      <c r="C121" s="66"/>
      <c r="D121" s="4"/>
      <c r="E121" s="43"/>
      <c r="F121" s="35"/>
      <c r="G121" s="35"/>
      <c r="H121" s="34"/>
      <c r="J121" s="76">
        <f t="shared" si="1"/>
        <v>0</v>
      </c>
      <c r="K121" s="39"/>
    </row>
    <row r="122" spans="2:11" ht="20.100000000000001" customHeight="1" x14ac:dyDescent="0.25">
      <c r="B122" s="11"/>
      <c r="C122" s="66"/>
      <c r="D122" s="4"/>
      <c r="E122" s="43"/>
      <c r="F122" s="35"/>
      <c r="G122" s="35"/>
      <c r="H122" s="34"/>
      <c r="J122" s="76">
        <f t="shared" si="1"/>
        <v>0</v>
      </c>
      <c r="K122" s="39"/>
    </row>
    <row r="123" spans="2:11" ht="20.100000000000001" customHeight="1" x14ac:dyDescent="0.25">
      <c r="B123" s="11"/>
      <c r="C123" s="66"/>
      <c r="D123" s="4"/>
      <c r="E123" s="43"/>
      <c r="F123" s="35"/>
      <c r="G123" s="35"/>
      <c r="H123" s="34"/>
      <c r="J123" s="76">
        <f t="shared" si="1"/>
        <v>0</v>
      </c>
      <c r="K123" s="39"/>
    </row>
    <row r="124" spans="2:11" ht="20.100000000000001" customHeight="1" x14ac:dyDescent="0.25">
      <c r="B124" s="11"/>
      <c r="C124" s="66"/>
      <c r="D124" s="4"/>
      <c r="E124" s="43"/>
      <c r="F124" s="35"/>
      <c r="G124" s="35"/>
      <c r="H124" s="34"/>
      <c r="J124" s="76">
        <f t="shared" si="1"/>
        <v>0</v>
      </c>
      <c r="K124" s="39"/>
    </row>
    <row r="125" spans="2:11" ht="20.100000000000001" customHeight="1" x14ac:dyDescent="0.25">
      <c r="B125" s="11"/>
      <c r="C125" s="66"/>
      <c r="D125" s="4"/>
      <c r="E125" s="43"/>
      <c r="F125" s="35"/>
      <c r="G125" s="35"/>
      <c r="H125" s="34"/>
      <c r="J125" s="76">
        <f t="shared" si="1"/>
        <v>0</v>
      </c>
      <c r="K125" s="39"/>
    </row>
    <row r="126" spans="2:11" ht="20.100000000000001" customHeight="1" x14ac:dyDescent="0.25">
      <c r="B126" s="11"/>
      <c r="C126" s="66"/>
      <c r="D126" s="4"/>
      <c r="E126" s="43"/>
      <c r="F126" s="35"/>
      <c r="G126" s="35"/>
      <c r="H126" s="34"/>
      <c r="J126" s="76">
        <f t="shared" si="1"/>
        <v>0</v>
      </c>
      <c r="K126" s="39"/>
    </row>
    <row r="127" spans="2:11" ht="20.100000000000001" customHeight="1" x14ac:dyDescent="0.25">
      <c r="B127" s="11"/>
      <c r="C127" s="66"/>
      <c r="D127" s="4"/>
      <c r="E127" s="43"/>
      <c r="F127" s="35"/>
      <c r="G127" s="35"/>
      <c r="H127" s="34"/>
      <c r="J127" s="76">
        <f t="shared" si="1"/>
        <v>0</v>
      </c>
      <c r="K127" s="39"/>
    </row>
    <row r="128" spans="2:11" ht="20.100000000000001" customHeight="1" x14ac:dyDescent="0.25">
      <c r="B128" s="11"/>
      <c r="C128" s="66"/>
      <c r="D128" s="4"/>
      <c r="E128" s="43"/>
      <c r="F128" s="35"/>
      <c r="G128" s="35"/>
      <c r="H128" s="34"/>
      <c r="J128" s="76">
        <f t="shared" si="1"/>
        <v>0</v>
      </c>
      <c r="K128" s="39"/>
    </row>
    <row r="129" spans="2:11" ht="20.100000000000001" customHeight="1" x14ac:dyDescent="0.25">
      <c r="B129" s="11"/>
      <c r="C129" s="66"/>
      <c r="D129" s="4"/>
      <c r="E129" s="43"/>
      <c r="F129" s="35"/>
      <c r="G129" s="35"/>
      <c r="H129" s="34"/>
      <c r="J129" s="76">
        <f t="shared" si="1"/>
        <v>0</v>
      </c>
      <c r="K129" s="39"/>
    </row>
    <row r="130" spans="2:11" ht="20.100000000000001" customHeight="1" x14ac:dyDescent="0.25">
      <c r="B130" s="11"/>
      <c r="C130" s="66"/>
      <c r="D130" s="4"/>
      <c r="E130" s="43"/>
      <c r="F130" s="35"/>
      <c r="G130" s="35"/>
      <c r="H130" s="34"/>
      <c r="J130" s="76">
        <f t="shared" si="1"/>
        <v>0</v>
      </c>
      <c r="K130" s="39"/>
    </row>
    <row r="131" spans="2:11" ht="20.100000000000001" customHeight="1" x14ac:dyDescent="0.25">
      <c r="B131" s="11"/>
      <c r="C131" s="66"/>
      <c r="D131" s="4"/>
      <c r="E131" s="43"/>
      <c r="F131" s="35"/>
      <c r="G131" s="35"/>
      <c r="H131" s="34"/>
      <c r="J131" s="76">
        <f t="shared" si="1"/>
        <v>0</v>
      </c>
      <c r="K131" s="39"/>
    </row>
    <row r="132" spans="2:11" ht="20.100000000000001" customHeight="1" x14ac:dyDescent="0.25">
      <c r="B132" s="11"/>
      <c r="C132" s="66"/>
      <c r="D132" s="4"/>
      <c r="E132" s="43"/>
      <c r="F132" s="35"/>
      <c r="G132" s="35"/>
      <c r="H132" s="34"/>
      <c r="J132" s="76">
        <f t="shared" si="1"/>
        <v>0</v>
      </c>
      <c r="K132" s="39"/>
    </row>
    <row r="133" spans="2:11" ht="20.100000000000001" customHeight="1" x14ac:dyDescent="0.25">
      <c r="B133" s="11"/>
      <c r="C133" s="66"/>
      <c r="D133" s="4"/>
      <c r="E133" s="43"/>
      <c r="F133" s="35"/>
      <c r="G133" s="35"/>
      <c r="H133" s="34"/>
      <c r="J133" s="76">
        <f t="shared" si="1"/>
        <v>0</v>
      </c>
      <c r="K133" s="39"/>
    </row>
    <row r="134" spans="2:11" ht="20.100000000000001" customHeight="1" x14ac:dyDescent="0.25">
      <c r="B134" s="11"/>
      <c r="C134" s="66"/>
      <c r="D134" s="4"/>
      <c r="E134" s="43"/>
      <c r="F134" s="35"/>
      <c r="G134" s="35"/>
      <c r="H134" s="34"/>
      <c r="J134" s="76">
        <f t="shared" si="1"/>
        <v>0</v>
      </c>
      <c r="K134" s="39"/>
    </row>
    <row r="135" spans="2:11" ht="20.100000000000001" customHeight="1" x14ac:dyDescent="0.25">
      <c r="B135" s="11"/>
      <c r="C135" s="66"/>
      <c r="D135" s="4"/>
      <c r="E135" s="43"/>
      <c r="F135" s="35"/>
      <c r="G135" s="35"/>
      <c r="H135" s="34"/>
      <c r="J135" s="76">
        <f t="shared" si="1"/>
        <v>0</v>
      </c>
      <c r="K135" s="39"/>
    </row>
    <row r="136" spans="2:11" ht="20.100000000000001" customHeight="1" x14ac:dyDescent="0.25">
      <c r="B136" s="11"/>
      <c r="C136" s="66"/>
      <c r="D136" s="4"/>
      <c r="E136" s="43"/>
      <c r="F136" s="35"/>
      <c r="G136" s="35"/>
      <c r="H136" s="34"/>
      <c r="J136" s="76">
        <f t="shared" ref="J136:J199" si="2">J135+F136-G136</f>
        <v>0</v>
      </c>
      <c r="K136" s="39"/>
    </row>
    <row r="137" spans="2:11" ht="20.100000000000001" customHeight="1" x14ac:dyDescent="0.25">
      <c r="B137" s="11"/>
      <c r="C137" s="66"/>
      <c r="D137" s="4"/>
      <c r="E137" s="43"/>
      <c r="F137" s="35"/>
      <c r="G137" s="35"/>
      <c r="H137" s="34"/>
      <c r="J137" s="76">
        <f t="shared" si="2"/>
        <v>0</v>
      </c>
      <c r="K137" s="39"/>
    </row>
    <row r="138" spans="2:11" ht="20.100000000000001" customHeight="1" x14ac:dyDescent="0.25">
      <c r="B138" s="11"/>
      <c r="C138" s="66"/>
      <c r="D138" s="4"/>
      <c r="E138" s="43"/>
      <c r="F138" s="35"/>
      <c r="G138" s="35"/>
      <c r="H138" s="34"/>
      <c r="J138" s="76">
        <f t="shared" si="2"/>
        <v>0</v>
      </c>
      <c r="K138" s="39"/>
    </row>
    <row r="139" spans="2:11" ht="20.100000000000001" customHeight="1" x14ac:dyDescent="0.25">
      <c r="B139" s="11"/>
      <c r="C139" s="66"/>
      <c r="D139" s="4"/>
      <c r="E139" s="43"/>
      <c r="F139" s="35"/>
      <c r="G139" s="35"/>
      <c r="H139" s="34"/>
      <c r="J139" s="76">
        <f t="shared" si="2"/>
        <v>0</v>
      </c>
      <c r="K139" s="39"/>
    </row>
    <row r="140" spans="2:11" ht="20.100000000000001" customHeight="1" x14ac:dyDescent="0.25">
      <c r="B140" s="11"/>
      <c r="C140" s="66"/>
      <c r="D140" s="4"/>
      <c r="E140" s="43"/>
      <c r="F140" s="35"/>
      <c r="G140" s="35"/>
      <c r="H140" s="34"/>
      <c r="J140" s="76">
        <f t="shared" si="2"/>
        <v>0</v>
      </c>
      <c r="K140" s="39"/>
    </row>
    <row r="141" spans="2:11" ht="20.100000000000001" customHeight="1" x14ac:dyDescent="0.25">
      <c r="B141" s="11"/>
      <c r="C141" s="66"/>
      <c r="D141" s="4"/>
      <c r="E141" s="43"/>
      <c r="F141" s="35"/>
      <c r="G141" s="35"/>
      <c r="H141" s="34"/>
      <c r="J141" s="76">
        <f t="shared" si="2"/>
        <v>0</v>
      </c>
      <c r="K141" s="39"/>
    </row>
    <row r="142" spans="2:11" ht="20.100000000000001" customHeight="1" x14ac:dyDescent="0.25">
      <c r="B142" s="11"/>
      <c r="C142" s="66"/>
      <c r="D142" s="4"/>
      <c r="E142" s="43"/>
      <c r="F142" s="35"/>
      <c r="G142" s="35"/>
      <c r="H142" s="34"/>
      <c r="J142" s="76">
        <f t="shared" si="2"/>
        <v>0</v>
      </c>
      <c r="K142" s="39"/>
    </row>
    <row r="143" spans="2:11" ht="20.100000000000001" customHeight="1" x14ac:dyDescent="0.25">
      <c r="B143" s="11"/>
      <c r="C143" s="66"/>
      <c r="D143" s="4"/>
      <c r="E143" s="43"/>
      <c r="F143" s="35"/>
      <c r="G143" s="35"/>
      <c r="H143" s="34"/>
      <c r="J143" s="76">
        <f t="shared" si="2"/>
        <v>0</v>
      </c>
      <c r="K143" s="39"/>
    </row>
    <row r="144" spans="2:11" ht="20.100000000000001" customHeight="1" x14ac:dyDescent="0.25">
      <c r="B144" s="11"/>
      <c r="C144" s="66"/>
      <c r="D144" s="4"/>
      <c r="E144" s="43"/>
      <c r="F144" s="35"/>
      <c r="G144" s="35"/>
      <c r="H144" s="34"/>
      <c r="J144" s="76">
        <f t="shared" si="2"/>
        <v>0</v>
      </c>
      <c r="K144" s="39"/>
    </row>
    <row r="145" spans="2:11" ht="20.100000000000001" customHeight="1" x14ac:dyDescent="0.25">
      <c r="B145" s="11"/>
      <c r="C145" s="66"/>
      <c r="D145" s="4"/>
      <c r="E145" s="43"/>
      <c r="F145" s="35"/>
      <c r="G145" s="35"/>
      <c r="H145" s="34"/>
      <c r="J145" s="76">
        <f t="shared" si="2"/>
        <v>0</v>
      </c>
      <c r="K145" s="39"/>
    </row>
    <row r="146" spans="2:11" ht="20.100000000000001" customHeight="1" x14ac:dyDescent="0.25">
      <c r="B146" s="11"/>
      <c r="C146" s="66"/>
      <c r="D146" s="4"/>
      <c r="E146" s="43"/>
      <c r="F146" s="35"/>
      <c r="G146" s="35"/>
      <c r="H146" s="34"/>
      <c r="J146" s="76">
        <f t="shared" si="2"/>
        <v>0</v>
      </c>
      <c r="K146" s="39"/>
    </row>
    <row r="147" spans="2:11" ht="20.100000000000001" customHeight="1" x14ac:dyDescent="0.25">
      <c r="B147" s="11"/>
      <c r="C147" s="66"/>
      <c r="D147" s="4"/>
      <c r="E147" s="43"/>
      <c r="F147" s="35"/>
      <c r="G147" s="35"/>
      <c r="H147" s="34"/>
      <c r="J147" s="76">
        <f t="shared" si="2"/>
        <v>0</v>
      </c>
      <c r="K147" s="39"/>
    </row>
    <row r="148" spans="2:11" ht="20.100000000000001" customHeight="1" x14ac:dyDescent="0.25">
      <c r="B148" s="11"/>
      <c r="C148" s="66"/>
      <c r="D148" s="4"/>
      <c r="E148" s="43"/>
      <c r="F148" s="35"/>
      <c r="G148" s="35"/>
      <c r="H148" s="34"/>
      <c r="J148" s="76">
        <f t="shared" si="2"/>
        <v>0</v>
      </c>
      <c r="K148" s="39"/>
    </row>
    <row r="149" spans="2:11" ht="20.100000000000001" customHeight="1" x14ac:dyDescent="0.25">
      <c r="B149" s="11"/>
      <c r="C149" s="66"/>
      <c r="D149" s="4"/>
      <c r="E149" s="43"/>
      <c r="F149" s="35"/>
      <c r="G149" s="35"/>
      <c r="H149" s="34"/>
      <c r="J149" s="76">
        <f t="shared" si="2"/>
        <v>0</v>
      </c>
      <c r="K149" s="39"/>
    </row>
    <row r="150" spans="2:11" ht="20.100000000000001" customHeight="1" x14ac:dyDescent="0.25">
      <c r="B150" s="11"/>
      <c r="C150" s="66"/>
      <c r="D150" s="4"/>
      <c r="E150" s="43"/>
      <c r="F150" s="35"/>
      <c r="G150" s="35"/>
      <c r="H150" s="34"/>
      <c r="J150" s="76">
        <f t="shared" si="2"/>
        <v>0</v>
      </c>
      <c r="K150" s="39"/>
    </row>
    <row r="151" spans="2:11" ht="20.100000000000001" customHeight="1" x14ac:dyDescent="0.25">
      <c r="B151" s="11"/>
      <c r="C151" s="66"/>
      <c r="D151" s="4"/>
      <c r="E151" s="43"/>
      <c r="F151" s="35"/>
      <c r="G151" s="35"/>
      <c r="H151" s="34"/>
      <c r="J151" s="76">
        <f t="shared" si="2"/>
        <v>0</v>
      </c>
      <c r="K151" s="39"/>
    </row>
    <row r="152" spans="2:11" ht="20.100000000000001" customHeight="1" x14ac:dyDescent="0.25">
      <c r="B152" s="11"/>
      <c r="C152" s="66"/>
      <c r="D152" s="4"/>
      <c r="E152" s="43"/>
      <c r="F152" s="35"/>
      <c r="G152" s="35"/>
      <c r="H152" s="34"/>
      <c r="J152" s="76">
        <f t="shared" si="2"/>
        <v>0</v>
      </c>
      <c r="K152" s="39"/>
    </row>
    <row r="153" spans="2:11" ht="20.100000000000001" customHeight="1" x14ac:dyDescent="0.25">
      <c r="B153" s="11"/>
      <c r="C153" s="66"/>
      <c r="D153" s="4"/>
      <c r="E153" s="43"/>
      <c r="F153" s="35"/>
      <c r="G153" s="35"/>
      <c r="H153" s="34"/>
      <c r="J153" s="76">
        <f t="shared" si="2"/>
        <v>0</v>
      </c>
      <c r="K153" s="39"/>
    </row>
    <row r="154" spans="2:11" ht="20.100000000000001" customHeight="1" x14ac:dyDescent="0.25">
      <c r="B154" s="11"/>
      <c r="C154" s="66"/>
      <c r="D154" s="4"/>
      <c r="E154" s="43"/>
      <c r="F154" s="35"/>
      <c r="G154" s="35"/>
      <c r="H154" s="34"/>
      <c r="J154" s="76">
        <f t="shared" si="2"/>
        <v>0</v>
      </c>
      <c r="K154" s="39"/>
    </row>
    <row r="155" spans="2:11" ht="20.100000000000001" customHeight="1" x14ac:dyDescent="0.25">
      <c r="B155" s="11"/>
      <c r="C155" s="66"/>
      <c r="D155" s="4"/>
      <c r="E155" s="43"/>
      <c r="F155" s="35"/>
      <c r="G155" s="35"/>
      <c r="H155" s="34"/>
      <c r="J155" s="76">
        <f t="shared" si="2"/>
        <v>0</v>
      </c>
      <c r="K155" s="39"/>
    </row>
    <row r="156" spans="2:11" ht="20.100000000000001" customHeight="1" x14ac:dyDescent="0.25">
      <c r="B156" s="11"/>
      <c r="C156" s="66"/>
      <c r="D156" s="4"/>
      <c r="E156" s="43"/>
      <c r="F156" s="35"/>
      <c r="G156" s="35"/>
      <c r="H156" s="34"/>
      <c r="J156" s="76">
        <f t="shared" si="2"/>
        <v>0</v>
      </c>
      <c r="K156" s="39"/>
    </row>
    <row r="157" spans="2:11" ht="20.100000000000001" customHeight="1" x14ac:dyDescent="0.25">
      <c r="B157" s="11"/>
      <c r="C157" s="66"/>
      <c r="D157" s="4"/>
      <c r="E157" s="43"/>
      <c r="F157" s="35"/>
      <c r="G157" s="35"/>
      <c r="H157" s="34"/>
      <c r="J157" s="76">
        <f t="shared" si="2"/>
        <v>0</v>
      </c>
      <c r="K157" s="39"/>
    </row>
    <row r="158" spans="2:11" ht="20.100000000000001" customHeight="1" x14ac:dyDescent="0.25">
      <c r="B158" s="11"/>
      <c r="C158" s="66"/>
      <c r="D158" s="4"/>
      <c r="E158" s="43"/>
      <c r="F158" s="35"/>
      <c r="G158" s="35"/>
      <c r="H158" s="34"/>
      <c r="J158" s="76">
        <f t="shared" si="2"/>
        <v>0</v>
      </c>
      <c r="K158" s="39"/>
    </row>
    <row r="159" spans="2:11" ht="20.100000000000001" customHeight="1" x14ac:dyDescent="0.25">
      <c r="B159" s="11"/>
      <c r="C159" s="66"/>
      <c r="D159" s="4"/>
      <c r="E159" s="43"/>
      <c r="F159" s="35"/>
      <c r="G159" s="35"/>
      <c r="H159" s="34"/>
      <c r="J159" s="76">
        <f t="shared" si="2"/>
        <v>0</v>
      </c>
      <c r="K159" s="39"/>
    </row>
    <row r="160" spans="2:11" ht="20.100000000000001" customHeight="1" x14ac:dyDescent="0.25">
      <c r="B160" s="11"/>
      <c r="C160" s="66"/>
      <c r="D160" s="4"/>
      <c r="E160" s="43"/>
      <c r="F160" s="35"/>
      <c r="G160" s="35"/>
      <c r="H160" s="34"/>
      <c r="J160" s="76">
        <f t="shared" si="2"/>
        <v>0</v>
      </c>
      <c r="K160" s="39"/>
    </row>
    <row r="161" spans="2:11" ht="20.100000000000001" customHeight="1" x14ac:dyDescent="0.25">
      <c r="B161" s="11"/>
      <c r="C161" s="66"/>
      <c r="D161" s="4"/>
      <c r="E161" s="43"/>
      <c r="F161" s="35"/>
      <c r="G161" s="35"/>
      <c r="H161" s="34"/>
      <c r="J161" s="76">
        <f t="shared" si="2"/>
        <v>0</v>
      </c>
      <c r="K161" s="39"/>
    </row>
    <row r="162" spans="2:11" ht="20.100000000000001" customHeight="1" x14ac:dyDescent="0.25">
      <c r="B162" s="11"/>
      <c r="C162" s="66"/>
      <c r="D162" s="4"/>
      <c r="E162" s="43"/>
      <c r="F162" s="35"/>
      <c r="G162" s="35"/>
      <c r="H162" s="34"/>
      <c r="J162" s="76">
        <f t="shared" si="2"/>
        <v>0</v>
      </c>
      <c r="K162" s="39"/>
    </row>
    <row r="163" spans="2:11" ht="20.100000000000001" customHeight="1" x14ac:dyDescent="0.25">
      <c r="B163" s="11"/>
      <c r="C163" s="66"/>
      <c r="D163" s="4"/>
      <c r="E163" s="43"/>
      <c r="F163" s="35"/>
      <c r="G163" s="35"/>
      <c r="H163" s="34"/>
      <c r="J163" s="76">
        <f t="shared" si="2"/>
        <v>0</v>
      </c>
      <c r="K163" s="39"/>
    </row>
    <row r="164" spans="2:11" ht="20.100000000000001" customHeight="1" x14ac:dyDescent="0.25">
      <c r="B164" s="11"/>
      <c r="C164" s="66"/>
      <c r="D164" s="4"/>
      <c r="E164" s="43"/>
      <c r="F164" s="35"/>
      <c r="G164" s="35"/>
      <c r="H164" s="34"/>
      <c r="J164" s="76">
        <f t="shared" si="2"/>
        <v>0</v>
      </c>
      <c r="K164" s="39"/>
    </row>
    <row r="165" spans="2:11" ht="20.100000000000001" customHeight="1" x14ac:dyDescent="0.25">
      <c r="B165" s="11"/>
      <c r="C165" s="66"/>
      <c r="D165" s="4"/>
      <c r="E165" s="43"/>
      <c r="F165" s="35"/>
      <c r="G165" s="35"/>
      <c r="H165" s="34"/>
      <c r="J165" s="76">
        <f t="shared" si="2"/>
        <v>0</v>
      </c>
      <c r="K165" s="39"/>
    </row>
    <row r="166" spans="2:11" ht="20.100000000000001" customHeight="1" x14ac:dyDescent="0.25">
      <c r="B166" s="11"/>
      <c r="C166" s="66"/>
      <c r="D166" s="4"/>
      <c r="E166" s="43"/>
      <c r="F166" s="35"/>
      <c r="G166" s="35"/>
      <c r="H166" s="34"/>
      <c r="J166" s="76">
        <f t="shared" si="2"/>
        <v>0</v>
      </c>
      <c r="K166" s="39"/>
    </row>
    <row r="167" spans="2:11" ht="20.100000000000001" customHeight="1" x14ac:dyDescent="0.25">
      <c r="B167" s="11"/>
      <c r="C167" s="66"/>
      <c r="D167" s="4"/>
      <c r="E167" s="43"/>
      <c r="F167" s="35"/>
      <c r="G167" s="35"/>
      <c r="H167" s="34"/>
      <c r="J167" s="76">
        <f t="shared" si="2"/>
        <v>0</v>
      </c>
      <c r="K167" s="39"/>
    </row>
    <row r="168" spans="2:11" ht="20.100000000000001" customHeight="1" x14ac:dyDescent="0.25">
      <c r="B168" s="11"/>
      <c r="C168" s="66"/>
      <c r="D168" s="4"/>
      <c r="E168" s="43"/>
      <c r="F168" s="35"/>
      <c r="G168" s="35"/>
      <c r="H168" s="34"/>
      <c r="J168" s="76">
        <f t="shared" si="2"/>
        <v>0</v>
      </c>
      <c r="K168" s="39"/>
    </row>
    <row r="169" spans="2:11" ht="20.100000000000001" customHeight="1" x14ac:dyDescent="0.25">
      <c r="B169" s="11"/>
      <c r="C169" s="66"/>
      <c r="D169" s="4"/>
      <c r="E169" s="43"/>
      <c r="F169" s="35"/>
      <c r="G169" s="35"/>
      <c r="H169" s="34"/>
      <c r="J169" s="76">
        <f t="shared" si="2"/>
        <v>0</v>
      </c>
      <c r="K169" s="39"/>
    </row>
    <row r="170" spans="2:11" ht="20.100000000000001" customHeight="1" x14ac:dyDescent="0.25">
      <c r="B170" s="11"/>
      <c r="C170" s="66"/>
      <c r="D170" s="4"/>
      <c r="E170" s="43"/>
      <c r="F170" s="35"/>
      <c r="G170" s="35"/>
      <c r="H170" s="34"/>
      <c r="J170" s="76">
        <f t="shared" si="2"/>
        <v>0</v>
      </c>
      <c r="K170" s="39"/>
    </row>
    <row r="171" spans="2:11" ht="20.100000000000001" customHeight="1" x14ac:dyDescent="0.25">
      <c r="B171" s="11"/>
      <c r="C171" s="66"/>
      <c r="D171" s="4"/>
      <c r="E171" s="43"/>
      <c r="F171" s="35"/>
      <c r="G171" s="35"/>
      <c r="H171" s="34"/>
      <c r="J171" s="76">
        <f t="shared" si="2"/>
        <v>0</v>
      </c>
      <c r="K171" s="39"/>
    </row>
    <row r="172" spans="2:11" ht="20.100000000000001" customHeight="1" x14ac:dyDescent="0.25">
      <c r="B172" s="11"/>
      <c r="C172" s="66"/>
      <c r="D172" s="4"/>
      <c r="E172" s="43"/>
      <c r="F172" s="35"/>
      <c r="G172" s="35"/>
      <c r="H172" s="34"/>
      <c r="J172" s="76">
        <f t="shared" si="2"/>
        <v>0</v>
      </c>
      <c r="K172" s="39"/>
    </row>
    <row r="173" spans="2:11" ht="20.100000000000001" customHeight="1" x14ac:dyDescent="0.25">
      <c r="B173" s="11"/>
      <c r="C173" s="66"/>
      <c r="D173" s="4"/>
      <c r="E173" s="43"/>
      <c r="F173" s="35"/>
      <c r="G173" s="35"/>
      <c r="H173" s="34"/>
      <c r="J173" s="76">
        <f t="shared" si="2"/>
        <v>0</v>
      </c>
      <c r="K173" s="39"/>
    </row>
    <row r="174" spans="2:11" ht="20.100000000000001" customHeight="1" x14ac:dyDescent="0.25">
      <c r="B174" s="11"/>
      <c r="C174" s="66"/>
      <c r="D174" s="4"/>
      <c r="E174" s="43"/>
      <c r="F174" s="35"/>
      <c r="G174" s="35"/>
      <c r="H174" s="34"/>
      <c r="J174" s="76">
        <f t="shared" si="2"/>
        <v>0</v>
      </c>
      <c r="K174" s="39"/>
    </row>
    <row r="175" spans="2:11" ht="20.100000000000001" customHeight="1" x14ac:dyDescent="0.25">
      <c r="B175" s="11"/>
      <c r="C175" s="66"/>
      <c r="D175" s="4"/>
      <c r="E175" s="43"/>
      <c r="F175" s="35"/>
      <c r="G175" s="35"/>
      <c r="H175" s="34"/>
      <c r="J175" s="76">
        <f t="shared" si="2"/>
        <v>0</v>
      </c>
      <c r="K175" s="39"/>
    </row>
    <row r="176" spans="2:11" ht="20.100000000000001" customHeight="1" x14ac:dyDescent="0.25">
      <c r="B176" s="11"/>
      <c r="C176" s="66"/>
      <c r="D176" s="4"/>
      <c r="E176" s="43"/>
      <c r="F176" s="35"/>
      <c r="G176" s="35"/>
      <c r="H176" s="34"/>
      <c r="J176" s="76">
        <f t="shared" si="2"/>
        <v>0</v>
      </c>
      <c r="K176" s="39"/>
    </row>
    <row r="177" spans="2:11" ht="20.100000000000001" customHeight="1" x14ac:dyDescent="0.25">
      <c r="B177" s="11"/>
      <c r="C177" s="66"/>
      <c r="D177" s="4"/>
      <c r="E177" s="43"/>
      <c r="F177" s="35"/>
      <c r="G177" s="35"/>
      <c r="H177" s="34"/>
      <c r="J177" s="76">
        <f t="shared" si="2"/>
        <v>0</v>
      </c>
      <c r="K177" s="39"/>
    </row>
    <row r="178" spans="2:11" ht="20.100000000000001" customHeight="1" x14ac:dyDescent="0.25">
      <c r="B178" s="11"/>
      <c r="C178" s="66"/>
      <c r="D178" s="4"/>
      <c r="E178" s="43"/>
      <c r="F178" s="35"/>
      <c r="G178" s="35"/>
      <c r="H178" s="34"/>
      <c r="J178" s="76">
        <f t="shared" si="2"/>
        <v>0</v>
      </c>
      <c r="K178" s="39"/>
    </row>
    <row r="179" spans="2:11" ht="20.100000000000001" customHeight="1" x14ac:dyDescent="0.25">
      <c r="B179" s="11"/>
      <c r="C179" s="66"/>
      <c r="D179" s="4"/>
      <c r="E179" s="43"/>
      <c r="F179" s="35"/>
      <c r="G179" s="35"/>
      <c r="H179" s="34"/>
      <c r="J179" s="76">
        <f t="shared" si="2"/>
        <v>0</v>
      </c>
      <c r="K179" s="39"/>
    </row>
    <row r="180" spans="2:11" ht="20.100000000000001" customHeight="1" x14ac:dyDescent="0.25">
      <c r="B180" s="11"/>
      <c r="C180" s="66"/>
      <c r="D180" s="4"/>
      <c r="E180" s="43"/>
      <c r="F180" s="35"/>
      <c r="G180" s="35"/>
      <c r="H180" s="34"/>
      <c r="J180" s="76">
        <f t="shared" si="2"/>
        <v>0</v>
      </c>
      <c r="K180" s="39"/>
    </row>
    <row r="181" spans="2:11" ht="20.100000000000001" customHeight="1" x14ac:dyDescent="0.25">
      <c r="B181" s="11"/>
      <c r="C181" s="66"/>
      <c r="D181" s="4"/>
      <c r="E181" s="43"/>
      <c r="F181" s="35"/>
      <c r="G181" s="35"/>
      <c r="H181" s="34"/>
      <c r="J181" s="76">
        <f t="shared" si="2"/>
        <v>0</v>
      </c>
      <c r="K181" s="39"/>
    </row>
    <row r="182" spans="2:11" ht="20.100000000000001" customHeight="1" x14ac:dyDescent="0.25">
      <c r="B182" s="11"/>
      <c r="C182" s="66"/>
      <c r="D182" s="4"/>
      <c r="E182" s="43"/>
      <c r="F182" s="35"/>
      <c r="G182" s="35"/>
      <c r="H182" s="34"/>
      <c r="J182" s="76">
        <f t="shared" si="2"/>
        <v>0</v>
      </c>
      <c r="K182" s="39"/>
    </row>
    <row r="183" spans="2:11" ht="20.100000000000001" customHeight="1" x14ac:dyDescent="0.25">
      <c r="B183" s="11"/>
      <c r="C183" s="66"/>
      <c r="D183" s="4"/>
      <c r="E183" s="43"/>
      <c r="F183" s="35"/>
      <c r="G183" s="35"/>
      <c r="H183" s="34"/>
      <c r="J183" s="76">
        <f t="shared" si="2"/>
        <v>0</v>
      </c>
      <c r="K183" s="39"/>
    </row>
    <row r="184" spans="2:11" ht="20.100000000000001" customHeight="1" x14ac:dyDescent="0.25">
      <c r="B184" s="11"/>
      <c r="C184" s="66"/>
      <c r="D184" s="4"/>
      <c r="E184" s="43"/>
      <c r="F184" s="35"/>
      <c r="G184" s="35"/>
      <c r="H184" s="34"/>
      <c r="J184" s="76">
        <f t="shared" si="2"/>
        <v>0</v>
      </c>
      <c r="K184" s="39"/>
    </row>
    <row r="185" spans="2:11" ht="20.100000000000001" customHeight="1" x14ac:dyDescent="0.25">
      <c r="B185" s="11"/>
      <c r="C185" s="66"/>
      <c r="D185" s="4"/>
      <c r="E185" s="43"/>
      <c r="F185" s="35"/>
      <c r="G185" s="35"/>
      <c r="H185" s="34"/>
      <c r="J185" s="76">
        <f t="shared" si="2"/>
        <v>0</v>
      </c>
      <c r="K185" s="39"/>
    </row>
    <row r="186" spans="2:11" ht="20.100000000000001" customHeight="1" x14ac:dyDescent="0.25">
      <c r="B186" s="11"/>
      <c r="C186" s="66"/>
      <c r="D186" s="4"/>
      <c r="E186" s="43"/>
      <c r="F186" s="35"/>
      <c r="G186" s="35"/>
      <c r="H186" s="34"/>
      <c r="J186" s="76">
        <f t="shared" si="2"/>
        <v>0</v>
      </c>
      <c r="K186" s="39"/>
    </row>
    <row r="187" spans="2:11" ht="20.100000000000001" customHeight="1" x14ac:dyDescent="0.25">
      <c r="B187" s="11"/>
      <c r="C187" s="66"/>
      <c r="D187" s="4"/>
      <c r="E187" s="43"/>
      <c r="F187" s="35"/>
      <c r="G187" s="35"/>
      <c r="H187" s="34"/>
      <c r="J187" s="76">
        <f t="shared" si="2"/>
        <v>0</v>
      </c>
      <c r="K187" s="39"/>
    </row>
    <row r="188" spans="2:11" ht="20.100000000000001" customHeight="1" x14ac:dyDescent="0.25">
      <c r="B188" s="11"/>
      <c r="C188" s="66"/>
      <c r="D188" s="4"/>
      <c r="E188" s="43"/>
      <c r="F188" s="35"/>
      <c r="G188" s="35"/>
      <c r="H188" s="34"/>
      <c r="J188" s="76">
        <f t="shared" si="2"/>
        <v>0</v>
      </c>
      <c r="K188" s="39"/>
    </row>
    <row r="189" spans="2:11" ht="20.100000000000001" customHeight="1" x14ac:dyDescent="0.25">
      <c r="B189" s="11"/>
      <c r="C189" s="66"/>
      <c r="D189" s="4"/>
      <c r="E189" s="43"/>
      <c r="F189" s="35"/>
      <c r="G189" s="35"/>
      <c r="H189" s="34"/>
      <c r="J189" s="76">
        <f t="shared" si="2"/>
        <v>0</v>
      </c>
      <c r="K189" s="39"/>
    </row>
    <row r="190" spans="2:11" ht="20.100000000000001" customHeight="1" x14ac:dyDescent="0.25">
      <c r="B190" s="11"/>
      <c r="C190" s="66"/>
      <c r="D190" s="4"/>
      <c r="E190" s="43"/>
      <c r="F190" s="35"/>
      <c r="G190" s="35"/>
      <c r="H190" s="34"/>
      <c r="J190" s="76">
        <f t="shared" si="2"/>
        <v>0</v>
      </c>
      <c r="K190" s="39"/>
    </row>
    <row r="191" spans="2:11" ht="20.100000000000001" customHeight="1" x14ac:dyDescent="0.25">
      <c r="B191" s="11"/>
      <c r="C191" s="66"/>
      <c r="D191" s="4"/>
      <c r="E191" s="43"/>
      <c r="F191" s="35"/>
      <c r="G191" s="35"/>
      <c r="H191" s="34"/>
      <c r="J191" s="76">
        <f t="shared" si="2"/>
        <v>0</v>
      </c>
      <c r="K191" s="39"/>
    </row>
    <row r="192" spans="2:11" ht="20.100000000000001" customHeight="1" x14ac:dyDescent="0.25">
      <c r="B192" s="11"/>
      <c r="C192" s="66"/>
      <c r="D192" s="4"/>
      <c r="E192" s="43"/>
      <c r="F192" s="35"/>
      <c r="G192" s="35"/>
      <c r="H192" s="34"/>
      <c r="J192" s="76">
        <f t="shared" si="2"/>
        <v>0</v>
      </c>
      <c r="K192" s="39"/>
    </row>
    <row r="193" spans="2:11" ht="20.100000000000001" customHeight="1" x14ac:dyDescent="0.25">
      <c r="B193" s="11"/>
      <c r="C193" s="66"/>
      <c r="D193" s="4"/>
      <c r="E193" s="43"/>
      <c r="F193" s="35"/>
      <c r="G193" s="35"/>
      <c r="H193" s="34"/>
      <c r="J193" s="76">
        <f t="shared" si="2"/>
        <v>0</v>
      </c>
      <c r="K193" s="39"/>
    </row>
    <row r="194" spans="2:11" ht="20.100000000000001" customHeight="1" x14ac:dyDescent="0.25">
      <c r="B194" s="11"/>
      <c r="C194" s="66"/>
      <c r="D194" s="4"/>
      <c r="E194" s="43"/>
      <c r="F194" s="35"/>
      <c r="G194" s="35"/>
      <c r="H194" s="34"/>
      <c r="J194" s="76">
        <f t="shared" si="2"/>
        <v>0</v>
      </c>
      <c r="K194" s="39"/>
    </row>
    <row r="195" spans="2:11" ht="20.100000000000001" customHeight="1" x14ac:dyDescent="0.25">
      <c r="B195" s="11"/>
      <c r="C195" s="66"/>
      <c r="D195" s="4"/>
      <c r="E195" s="43"/>
      <c r="F195" s="35"/>
      <c r="G195" s="35"/>
      <c r="H195" s="34"/>
      <c r="J195" s="76">
        <f t="shared" si="2"/>
        <v>0</v>
      </c>
      <c r="K195" s="39"/>
    </row>
    <row r="196" spans="2:11" ht="20.100000000000001" customHeight="1" x14ac:dyDescent="0.25">
      <c r="B196" s="11"/>
      <c r="C196" s="66"/>
      <c r="D196" s="4"/>
      <c r="E196" s="43"/>
      <c r="F196" s="35"/>
      <c r="G196" s="35"/>
      <c r="H196" s="34"/>
      <c r="J196" s="76">
        <f t="shared" si="2"/>
        <v>0</v>
      </c>
      <c r="K196" s="39"/>
    </row>
    <row r="197" spans="2:11" ht="20.100000000000001" customHeight="1" x14ac:dyDescent="0.25">
      <c r="B197" s="11"/>
      <c r="C197" s="66"/>
      <c r="D197" s="4"/>
      <c r="E197" s="43"/>
      <c r="F197" s="35"/>
      <c r="G197" s="35"/>
      <c r="H197" s="34"/>
      <c r="J197" s="76">
        <f t="shared" si="2"/>
        <v>0</v>
      </c>
      <c r="K197" s="39"/>
    </row>
    <row r="198" spans="2:11" ht="20.100000000000001" customHeight="1" x14ac:dyDescent="0.25">
      <c r="B198" s="11"/>
      <c r="C198" s="66"/>
      <c r="D198" s="4"/>
      <c r="E198" s="43"/>
      <c r="F198" s="35"/>
      <c r="G198" s="35"/>
      <c r="H198" s="35"/>
      <c r="J198" s="76">
        <f t="shared" si="2"/>
        <v>0</v>
      </c>
      <c r="K198" s="39"/>
    </row>
    <row r="199" spans="2:11" ht="20.100000000000001" customHeight="1" x14ac:dyDescent="0.25">
      <c r="B199" s="11"/>
      <c r="C199" s="66"/>
      <c r="D199" s="4"/>
      <c r="E199" s="43"/>
      <c r="F199" s="35"/>
      <c r="G199" s="35"/>
      <c r="H199" s="35"/>
      <c r="J199" s="76">
        <f t="shared" si="2"/>
        <v>0</v>
      </c>
      <c r="K199" s="39"/>
    </row>
    <row r="200" spans="2:11" ht="20.100000000000001" customHeight="1" x14ac:dyDescent="0.25">
      <c r="B200" s="11"/>
      <c r="C200" s="66"/>
      <c r="D200" s="4"/>
      <c r="E200" s="43"/>
      <c r="F200" s="35"/>
      <c r="G200" s="35"/>
      <c r="H200" s="35"/>
      <c r="J200" s="76">
        <f t="shared" ref="J200:J263" si="3">J199+F200-G200</f>
        <v>0</v>
      </c>
      <c r="K200" s="39"/>
    </row>
    <row r="201" spans="2:11" ht="20.100000000000001" customHeight="1" x14ac:dyDescent="0.25">
      <c r="B201" s="11"/>
      <c r="C201" s="66"/>
      <c r="D201" s="4"/>
      <c r="E201" s="43"/>
      <c r="F201" s="35"/>
      <c r="G201" s="35"/>
      <c r="H201" s="35"/>
      <c r="J201" s="76">
        <f t="shared" si="3"/>
        <v>0</v>
      </c>
      <c r="K201" s="39"/>
    </row>
    <row r="202" spans="2:11" ht="20.100000000000001" customHeight="1" x14ac:dyDescent="0.25">
      <c r="C202" s="67"/>
      <c r="D202" s="4"/>
      <c r="E202" s="43"/>
      <c r="F202" s="34"/>
      <c r="G202" s="34"/>
      <c r="H202" s="34"/>
      <c r="I202" s="50"/>
      <c r="J202" s="76">
        <f t="shared" si="3"/>
        <v>0</v>
      </c>
      <c r="K202" s="40"/>
    </row>
    <row r="203" spans="2:11" ht="20.100000000000001" customHeight="1" x14ac:dyDescent="0.25">
      <c r="C203" s="67"/>
      <c r="D203" s="4"/>
      <c r="E203" s="43"/>
      <c r="F203" s="35"/>
      <c r="G203" s="35"/>
      <c r="H203" s="35"/>
      <c r="J203" s="76">
        <f t="shared" si="3"/>
        <v>0</v>
      </c>
      <c r="K203" s="39"/>
    </row>
    <row r="204" spans="2:11" ht="20.100000000000001" customHeight="1" x14ac:dyDescent="0.25">
      <c r="C204" s="67"/>
      <c r="D204" s="4"/>
      <c r="E204" s="43"/>
      <c r="F204" s="35"/>
      <c r="G204" s="35"/>
      <c r="H204" s="35"/>
      <c r="J204" s="76">
        <f t="shared" si="3"/>
        <v>0</v>
      </c>
    </row>
    <row r="205" spans="2:11" ht="20.100000000000001" customHeight="1" x14ac:dyDescent="0.25">
      <c r="C205" s="67"/>
      <c r="D205" s="4"/>
      <c r="E205" s="43"/>
      <c r="F205" s="35"/>
      <c r="G205" s="35"/>
      <c r="H205" s="35"/>
      <c r="J205" s="76">
        <f t="shared" si="3"/>
        <v>0</v>
      </c>
    </row>
    <row r="206" spans="2:11" ht="20.100000000000001" customHeight="1" x14ac:dyDescent="0.25">
      <c r="C206" s="67"/>
      <c r="D206" s="4"/>
      <c r="E206" s="43"/>
      <c r="F206" s="35"/>
      <c r="G206" s="35"/>
      <c r="H206" s="35"/>
      <c r="J206" s="76">
        <f t="shared" si="3"/>
        <v>0</v>
      </c>
    </row>
    <row r="207" spans="2:11" ht="20.100000000000001" customHeight="1" x14ac:dyDescent="0.25">
      <c r="C207" s="67"/>
      <c r="D207" s="4"/>
      <c r="E207" s="43"/>
      <c r="J207" s="76">
        <f t="shared" si="3"/>
        <v>0</v>
      </c>
    </row>
    <row r="208" spans="2:11" ht="20.100000000000001" customHeight="1" x14ac:dyDescent="0.25">
      <c r="C208" s="67"/>
      <c r="D208" s="4"/>
      <c r="J208" s="76">
        <f t="shared" si="3"/>
        <v>0</v>
      </c>
    </row>
    <row r="209" spans="3:10" ht="20.100000000000001" customHeight="1" x14ac:dyDescent="0.25">
      <c r="C209" s="67"/>
      <c r="D209" s="4"/>
      <c r="J209" s="76">
        <f t="shared" si="3"/>
        <v>0</v>
      </c>
    </row>
    <row r="210" spans="3:10" ht="20.100000000000001" customHeight="1" x14ac:dyDescent="0.25">
      <c r="C210" s="67"/>
      <c r="D210" s="4"/>
      <c r="J210" s="76">
        <f t="shared" si="3"/>
        <v>0</v>
      </c>
    </row>
    <row r="211" spans="3:10" ht="20.100000000000001" customHeight="1" x14ac:dyDescent="0.25">
      <c r="C211" s="67"/>
      <c r="D211" s="4"/>
      <c r="J211" s="76">
        <f t="shared" si="3"/>
        <v>0</v>
      </c>
    </row>
    <row r="212" spans="3:10" ht="20.100000000000001" customHeight="1" x14ac:dyDescent="0.25">
      <c r="C212" s="67"/>
      <c r="D212" s="4"/>
      <c r="J212" s="76">
        <f t="shared" si="3"/>
        <v>0</v>
      </c>
    </row>
    <row r="213" spans="3:10" ht="20.100000000000001" customHeight="1" x14ac:dyDescent="0.25">
      <c r="C213" s="67"/>
      <c r="D213" s="4"/>
      <c r="J213" s="76">
        <f t="shared" si="3"/>
        <v>0</v>
      </c>
    </row>
    <row r="214" spans="3:10" ht="20.100000000000001" customHeight="1" x14ac:dyDescent="0.25">
      <c r="C214" s="67"/>
      <c r="D214" s="4"/>
      <c r="J214" s="76">
        <f t="shared" si="3"/>
        <v>0</v>
      </c>
    </row>
    <row r="215" spans="3:10" ht="20.100000000000001" customHeight="1" x14ac:dyDescent="0.25">
      <c r="C215" s="67"/>
      <c r="D215" s="4"/>
      <c r="J215" s="76">
        <f t="shared" si="3"/>
        <v>0</v>
      </c>
    </row>
    <row r="216" spans="3:10" ht="20.100000000000001" customHeight="1" x14ac:dyDescent="0.25">
      <c r="C216" s="67"/>
      <c r="D216" s="4"/>
      <c r="J216" s="76">
        <f t="shared" si="3"/>
        <v>0</v>
      </c>
    </row>
    <row r="217" spans="3:10" ht="20.100000000000001" customHeight="1" x14ac:dyDescent="0.25">
      <c r="C217" s="67"/>
      <c r="D217" s="4"/>
      <c r="J217" s="76">
        <f t="shared" si="3"/>
        <v>0</v>
      </c>
    </row>
    <row r="218" spans="3:10" ht="20.100000000000001" customHeight="1" x14ac:dyDescent="0.25">
      <c r="C218" s="67"/>
      <c r="D218" s="4"/>
      <c r="J218" s="76">
        <f t="shared" si="3"/>
        <v>0</v>
      </c>
    </row>
    <row r="219" spans="3:10" ht="20.100000000000001" customHeight="1" x14ac:dyDescent="0.25">
      <c r="C219" s="67"/>
      <c r="D219" s="4"/>
      <c r="J219" s="76">
        <f t="shared" si="3"/>
        <v>0</v>
      </c>
    </row>
    <row r="220" spans="3:10" ht="20.100000000000001" customHeight="1" x14ac:dyDescent="0.25">
      <c r="C220" s="67"/>
      <c r="D220" s="4"/>
      <c r="J220" s="76">
        <f t="shared" si="3"/>
        <v>0</v>
      </c>
    </row>
    <row r="221" spans="3:10" ht="20.100000000000001" customHeight="1" x14ac:dyDescent="0.25">
      <c r="C221" s="67"/>
      <c r="D221" s="4"/>
      <c r="J221" s="76">
        <f t="shared" si="3"/>
        <v>0</v>
      </c>
    </row>
    <row r="222" spans="3:10" ht="20.100000000000001" customHeight="1" x14ac:dyDescent="0.25">
      <c r="C222" s="67"/>
      <c r="D222" s="16"/>
      <c r="J222" s="76">
        <f t="shared" si="3"/>
        <v>0</v>
      </c>
    </row>
    <row r="223" spans="3:10" ht="20.100000000000001" customHeight="1" x14ac:dyDescent="0.25">
      <c r="C223" s="67"/>
      <c r="D223" s="16"/>
      <c r="J223" s="76">
        <f t="shared" si="3"/>
        <v>0</v>
      </c>
    </row>
    <row r="224" spans="3:10" ht="20.100000000000001" customHeight="1" x14ac:dyDescent="0.25">
      <c r="C224" s="67"/>
      <c r="D224" s="16"/>
      <c r="J224" s="76">
        <f t="shared" si="3"/>
        <v>0</v>
      </c>
    </row>
    <row r="225" spans="3:10" ht="20.100000000000001" customHeight="1" x14ac:dyDescent="0.25">
      <c r="C225" s="67"/>
      <c r="D225" s="16"/>
      <c r="J225" s="76">
        <f t="shared" si="3"/>
        <v>0</v>
      </c>
    </row>
    <row r="226" spans="3:10" ht="20.100000000000001" customHeight="1" x14ac:dyDescent="0.25">
      <c r="C226" s="67"/>
      <c r="D226" s="16"/>
      <c r="J226" s="76">
        <f t="shared" si="3"/>
        <v>0</v>
      </c>
    </row>
    <row r="227" spans="3:10" ht="20.100000000000001" customHeight="1" x14ac:dyDescent="0.25">
      <c r="C227" s="67"/>
      <c r="D227" s="16"/>
      <c r="J227" s="76">
        <f t="shared" si="3"/>
        <v>0</v>
      </c>
    </row>
    <row r="228" spans="3:10" ht="20.100000000000001" customHeight="1" x14ac:dyDescent="0.25">
      <c r="C228" s="67"/>
      <c r="D228" s="16"/>
      <c r="J228" s="76">
        <f t="shared" si="3"/>
        <v>0</v>
      </c>
    </row>
    <row r="229" spans="3:10" ht="20.100000000000001" customHeight="1" x14ac:dyDescent="0.25">
      <c r="C229" s="67"/>
      <c r="D229" s="16"/>
      <c r="J229" s="76">
        <f t="shared" si="3"/>
        <v>0</v>
      </c>
    </row>
    <row r="230" spans="3:10" ht="20.100000000000001" customHeight="1" x14ac:dyDescent="0.25">
      <c r="C230" s="67"/>
      <c r="D230" s="16"/>
      <c r="J230" s="76">
        <f t="shared" si="3"/>
        <v>0</v>
      </c>
    </row>
    <row r="231" spans="3:10" ht="20.100000000000001" customHeight="1" x14ac:dyDescent="0.25">
      <c r="C231" s="67"/>
      <c r="D231" s="16"/>
      <c r="J231" s="76">
        <f t="shared" si="3"/>
        <v>0</v>
      </c>
    </row>
    <row r="232" spans="3:10" ht="20.100000000000001" customHeight="1" x14ac:dyDescent="0.25">
      <c r="C232" s="67"/>
      <c r="D232" s="16"/>
      <c r="J232" s="76">
        <f t="shared" si="3"/>
        <v>0</v>
      </c>
    </row>
    <row r="233" spans="3:10" ht="20.100000000000001" customHeight="1" x14ac:dyDescent="0.25">
      <c r="C233" s="67"/>
      <c r="D233" s="16"/>
      <c r="J233" s="76">
        <f t="shared" si="3"/>
        <v>0</v>
      </c>
    </row>
    <row r="234" spans="3:10" ht="20.100000000000001" customHeight="1" x14ac:dyDescent="0.25">
      <c r="J234" s="76">
        <f t="shared" si="3"/>
        <v>0</v>
      </c>
    </row>
    <row r="235" spans="3:10" ht="20.100000000000001" customHeight="1" x14ac:dyDescent="0.25">
      <c r="J235" s="76">
        <f t="shared" si="3"/>
        <v>0</v>
      </c>
    </row>
    <row r="236" spans="3:10" ht="20.100000000000001" customHeight="1" x14ac:dyDescent="0.25">
      <c r="J236" s="76">
        <f t="shared" si="3"/>
        <v>0</v>
      </c>
    </row>
    <row r="237" spans="3:10" ht="20.100000000000001" customHeight="1" x14ac:dyDescent="0.25">
      <c r="J237" s="76">
        <f t="shared" si="3"/>
        <v>0</v>
      </c>
    </row>
    <row r="238" spans="3:10" ht="20.100000000000001" customHeight="1" x14ac:dyDescent="0.25">
      <c r="J238" s="76">
        <f t="shared" si="3"/>
        <v>0</v>
      </c>
    </row>
    <row r="239" spans="3:10" ht="20.100000000000001" customHeight="1" x14ac:dyDescent="0.25">
      <c r="J239" s="76">
        <f t="shared" si="3"/>
        <v>0</v>
      </c>
    </row>
    <row r="240" spans="3:10" ht="20.100000000000001" customHeight="1" x14ac:dyDescent="0.25">
      <c r="J240" s="76">
        <f t="shared" si="3"/>
        <v>0</v>
      </c>
    </row>
    <row r="241" spans="10:10" ht="20.100000000000001" customHeight="1" x14ac:dyDescent="0.25">
      <c r="J241" s="76">
        <f t="shared" si="3"/>
        <v>0</v>
      </c>
    </row>
    <row r="242" spans="10:10" ht="20.100000000000001" customHeight="1" x14ac:dyDescent="0.25">
      <c r="J242" s="76">
        <f t="shared" si="3"/>
        <v>0</v>
      </c>
    </row>
    <row r="243" spans="10:10" ht="20.100000000000001" customHeight="1" x14ac:dyDescent="0.25">
      <c r="J243" s="76">
        <f t="shared" si="3"/>
        <v>0</v>
      </c>
    </row>
    <row r="244" spans="10:10" ht="20.100000000000001" customHeight="1" x14ac:dyDescent="0.25">
      <c r="J244" s="76">
        <f t="shared" si="3"/>
        <v>0</v>
      </c>
    </row>
    <row r="245" spans="10:10" ht="20.100000000000001" customHeight="1" x14ac:dyDescent="0.25">
      <c r="J245" s="76">
        <f t="shared" si="3"/>
        <v>0</v>
      </c>
    </row>
    <row r="246" spans="10:10" ht="20.100000000000001" customHeight="1" x14ac:dyDescent="0.25">
      <c r="J246" s="76">
        <f t="shared" si="3"/>
        <v>0</v>
      </c>
    </row>
    <row r="247" spans="10:10" ht="20.100000000000001" customHeight="1" x14ac:dyDescent="0.25">
      <c r="J247" s="76">
        <f t="shared" si="3"/>
        <v>0</v>
      </c>
    </row>
    <row r="248" spans="10:10" ht="20.100000000000001" customHeight="1" x14ac:dyDescent="0.25">
      <c r="J248" s="76">
        <f t="shared" si="3"/>
        <v>0</v>
      </c>
    </row>
    <row r="249" spans="10:10" ht="20.100000000000001" customHeight="1" x14ac:dyDescent="0.25">
      <c r="J249" s="76">
        <f t="shared" si="3"/>
        <v>0</v>
      </c>
    </row>
    <row r="250" spans="10:10" ht="20.100000000000001" customHeight="1" x14ac:dyDescent="0.25">
      <c r="J250" s="76">
        <f t="shared" si="3"/>
        <v>0</v>
      </c>
    </row>
    <row r="251" spans="10:10" ht="20.100000000000001" customHeight="1" x14ac:dyDescent="0.25">
      <c r="J251" s="76">
        <f t="shared" si="3"/>
        <v>0</v>
      </c>
    </row>
    <row r="252" spans="10:10" ht="20.100000000000001" customHeight="1" x14ac:dyDescent="0.25">
      <c r="J252" s="76">
        <f t="shared" si="3"/>
        <v>0</v>
      </c>
    </row>
    <row r="253" spans="10:10" ht="20.100000000000001" customHeight="1" x14ac:dyDescent="0.25">
      <c r="J253" s="76">
        <f t="shared" si="3"/>
        <v>0</v>
      </c>
    </row>
    <row r="254" spans="10:10" ht="20.100000000000001" customHeight="1" x14ac:dyDescent="0.25">
      <c r="J254" s="76">
        <f t="shared" si="3"/>
        <v>0</v>
      </c>
    </row>
    <row r="255" spans="10:10" ht="20.100000000000001" customHeight="1" x14ac:dyDescent="0.25">
      <c r="J255" s="76">
        <f t="shared" si="3"/>
        <v>0</v>
      </c>
    </row>
    <row r="256" spans="10:10" ht="20.100000000000001" customHeight="1" x14ac:dyDescent="0.25">
      <c r="J256" s="76">
        <f t="shared" si="3"/>
        <v>0</v>
      </c>
    </row>
    <row r="257" spans="10:10" ht="20.100000000000001" customHeight="1" x14ac:dyDescent="0.25">
      <c r="J257" s="76">
        <f t="shared" si="3"/>
        <v>0</v>
      </c>
    </row>
    <row r="258" spans="10:10" ht="20.100000000000001" customHeight="1" x14ac:dyDescent="0.25">
      <c r="J258" s="76">
        <f t="shared" si="3"/>
        <v>0</v>
      </c>
    </row>
    <row r="259" spans="10:10" ht="20.100000000000001" customHeight="1" x14ac:dyDescent="0.25">
      <c r="J259" s="76">
        <f t="shared" si="3"/>
        <v>0</v>
      </c>
    </row>
    <row r="260" spans="10:10" ht="20.100000000000001" customHeight="1" x14ac:dyDescent="0.25">
      <c r="J260" s="76">
        <f t="shared" si="3"/>
        <v>0</v>
      </c>
    </row>
    <row r="261" spans="10:10" ht="20.100000000000001" customHeight="1" x14ac:dyDescent="0.25">
      <c r="J261" s="76">
        <f t="shared" si="3"/>
        <v>0</v>
      </c>
    </row>
    <row r="262" spans="10:10" ht="20.100000000000001" customHeight="1" x14ac:dyDescent="0.25">
      <c r="J262" s="76">
        <f t="shared" si="3"/>
        <v>0</v>
      </c>
    </row>
    <row r="263" spans="10:10" ht="20.100000000000001" customHeight="1" x14ac:dyDescent="0.25">
      <c r="J263" s="76">
        <f t="shared" si="3"/>
        <v>0</v>
      </c>
    </row>
    <row r="264" spans="10:10" ht="20.100000000000001" customHeight="1" x14ac:dyDescent="0.25">
      <c r="J264" s="76">
        <f t="shared" ref="J264:J298" si="4">J263+F264-G264</f>
        <v>0</v>
      </c>
    </row>
    <row r="265" spans="10:10" ht="20.100000000000001" customHeight="1" x14ac:dyDescent="0.25">
      <c r="J265" s="76">
        <f t="shared" si="4"/>
        <v>0</v>
      </c>
    </row>
    <row r="266" spans="10:10" ht="20.100000000000001" customHeight="1" x14ac:dyDescent="0.25">
      <c r="J266" s="76">
        <f t="shared" si="4"/>
        <v>0</v>
      </c>
    </row>
    <row r="267" spans="10:10" ht="20.100000000000001" customHeight="1" x14ac:dyDescent="0.25">
      <c r="J267" s="76">
        <f t="shared" si="4"/>
        <v>0</v>
      </c>
    </row>
    <row r="268" spans="10:10" ht="20.100000000000001" customHeight="1" x14ac:dyDescent="0.25">
      <c r="J268" s="76">
        <f t="shared" si="4"/>
        <v>0</v>
      </c>
    </row>
    <row r="269" spans="10:10" ht="20.100000000000001" customHeight="1" x14ac:dyDescent="0.25">
      <c r="J269" s="76">
        <f t="shared" si="4"/>
        <v>0</v>
      </c>
    </row>
    <row r="270" spans="10:10" ht="20.100000000000001" customHeight="1" x14ac:dyDescent="0.25">
      <c r="J270" s="76">
        <f t="shared" si="4"/>
        <v>0</v>
      </c>
    </row>
    <row r="271" spans="10:10" ht="20.100000000000001" customHeight="1" x14ac:dyDescent="0.25">
      <c r="J271" s="76">
        <f t="shared" si="4"/>
        <v>0</v>
      </c>
    </row>
    <row r="272" spans="10:10" ht="20.100000000000001" customHeight="1" x14ac:dyDescent="0.25">
      <c r="J272" s="76">
        <f t="shared" si="4"/>
        <v>0</v>
      </c>
    </row>
    <row r="273" spans="10:10" ht="20.100000000000001" customHeight="1" x14ac:dyDescent="0.25">
      <c r="J273" s="76">
        <f t="shared" si="4"/>
        <v>0</v>
      </c>
    </row>
    <row r="274" spans="10:10" ht="20.100000000000001" customHeight="1" x14ac:dyDescent="0.25">
      <c r="J274" s="76">
        <f t="shared" si="4"/>
        <v>0</v>
      </c>
    </row>
    <row r="275" spans="10:10" ht="20.100000000000001" customHeight="1" x14ac:dyDescent="0.25">
      <c r="J275" s="76">
        <f t="shared" si="4"/>
        <v>0</v>
      </c>
    </row>
    <row r="276" spans="10:10" ht="20.100000000000001" customHeight="1" x14ac:dyDescent="0.25">
      <c r="J276" s="76">
        <f t="shared" si="4"/>
        <v>0</v>
      </c>
    </row>
    <row r="277" spans="10:10" ht="20.100000000000001" customHeight="1" x14ac:dyDescent="0.25">
      <c r="J277" s="76">
        <f t="shared" si="4"/>
        <v>0</v>
      </c>
    </row>
    <row r="278" spans="10:10" ht="20.100000000000001" customHeight="1" x14ac:dyDescent="0.25">
      <c r="J278" s="76">
        <f t="shared" si="4"/>
        <v>0</v>
      </c>
    </row>
    <row r="279" spans="10:10" ht="20.100000000000001" customHeight="1" x14ac:dyDescent="0.25">
      <c r="J279" s="76">
        <f t="shared" si="4"/>
        <v>0</v>
      </c>
    </row>
    <row r="280" spans="10:10" ht="20.100000000000001" customHeight="1" x14ac:dyDescent="0.25">
      <c r="J280" s="76">
        <f t="shared" si="4"/>
        <v>0</v>
      </c>
    </row>
    <row r="281" spans="10:10" ht="20.100000000000001" customHeight="1" x14ac:dyDescent="0.25">
      <c r="J281" s="76">
        <f t="shared" si="4"/>
        <v>0</v>
      </c>
    </row>
    <row r="282" spans="10:10" ht="20.100000000000001" customHeight="1" x14ac:dyDescent="0.25">
      <c r="J282" s="76">
        <f t="shared" si="4"/>
        <v>0</v>
      </c>
    </row>
    <row r="283" spans="10:10" ht="20.100000000000001" customHeight="1" x14ac:dyDescent="0.25">
      <c r="J283" s="76">
        <f t="shared" si="4"/>
        <v>0</v>
      </c>
    </row>
    <row r="284" spans="10:10" ht="20.100000000000001" customHeight="1" x14ac:dyDescent="0.25">
      <c r="J284" s="76">
        <f t="shared" si="4"/>
        <v>0</v>
      </c>
    </row>
    <row r="285" spans="10:10" ht="20.100000000000001" customHeight="1" x14ac:dyDescent="0.25">
      <c r="J285" s="76">
        <f t="shared" si="4"/>
        <v>0</v>
      </c>
    </row>
    <row r="286" spans="10:10" ht="20.100000000000001" customHeight="1" x14ac:dyDescent="0.25">
      <c r="J286" s="76">
        <f t="shared" si="4"/>
        <v>0</v>
      </c>
    </row>
    <row r="287" spans="10:10" ht="20.100000000000001" customHeight="1" x14ac:dyDescent="0.25">
      <c r="J287" s="76">
        <f t="shared" si="4"/>
        <v>0</v>
      </c>
    </row>
    <row r="288" spans="10:10" ht="20.100000000000001" customHeight="1" x14ac:dyDescent="0.25">
      <c r="J288" s="76">
        <f t="shared" si="4"/>
        <v>0</v>
      </c>
    </row>
    <row r="289" spans="10:10" ht="20.100000000000001" customHeight="1" x14ac:dyDescent="0.25">
      <c r="J289" s="76">
        <f t="shared" si="4"/>
        <v>0</v>
      </c>
    </row>
    <row r="290" spans="10:10" ht="20.100000000000001" customHeight="1" x14ac:dyDescent="0.25">
      <c r="J290" s="76">
        <f t="shared" si="4"/>
        <v>0</v>
      </c>
    </row>
    <row r="291" spans="10:10" ht="20.100000000000001" customHeight="1" x14ac:dyDescent="0.25">
      <c r="J291" s="76">
        <f t="shared" si="4"/>
        <v>0</v>
      </c>
    </row>
    <row r="292" spans="10:10" ht="20.100000000000001" customHeight="1" x14ac:dyDescent="0.25">
      <c r="J292" s="76">
        <f t="shared" si="4"/>
        <v>0</v>
      </c>
    </row>
    <row r="293" spans="10:10" ht="20.100000000000001" customHeight="1" x14ac:dyDescent="0.25">
      <c r="J293" s="76">
        <f t="shared" si="4"/>
        <v>0</v>
      </c>
    </row>
    <row r="294" spans="10:10" ht="20.100000000000001" customHeight="1" x14ac:dyDescent="0.25">
      <c r="J294" s="76">
        <f t="shared" si="4"/>
        <v>0</v>
      </c>
    </row>
    <row r="295" spans="10:10" ht="20.100000000000001" customHeight="1" x14ac:dyDescent="0.25">
      <c r="J295" s="76">
        <f t="shared" si="4"/>
        <v>0</v>
      </c>
    </row>
    <row r="296" spans="10:10" ht="20.100000000000001" customHeight="1" x14ac:dyDescent="0.25">
      <c r="J296" s="76">
        <f t="shared" si="4"/>
        <v>0</v>
      </c>
    </row>
    <row r="297" spans="10:10" ht="20.100000000000001" customHeight="1" x14ac:dyDescent="0.25">
      <c r="J297" s="76">
        <f t="shared" si="4"/>
        <v>0</v>
      </c>
    </row>
    <row r="298" spans="10:10" ht="20.100000000000001" customHeight="1" x14ac:dyDescent="0.25">
      <c r="J298" s="76">
        <f t="shared" si="4"/>
        <v>0</v>
      </c>
    </row>
  </sheetData>
  <mergeCells count="6">
    <mergeCell ref="B1:B4"/>
    <mergeCell ref="D1:F2"/>
    <mergeCell ref="K1:K2"/>
    <mergeCell ref="D3:F3"/>
    <mergeCell ref="K3:K4"/>
    <mergeCell ref="D4:F4"/>
  </mergeCells>
  <pageMargins left="0.7" right="0.7" top="0.75" bottom="0.75" header="0.3" footer="0.3"/>
  <pageSetup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'DASHBOARD-OLD'!O13:O14</xm:f>
          </x14:formula1>
          <xm:sqref>D7:D221</xm:sqref>
        </x14:dataValidation>
        <x14:dataValidation type="list" allowBlank="1" showInputMessage="1" showErrorMessage="1">
          <x14:formula1>
            <xm:f>'DASHBOARD-OLD'!O18:O19</xm:f>
          </x14:formula1>
          <xm:sqref>H7:H197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98"/>
  <sheetViews>
    <sheetView workbookViewId="0">
      <selection activeCell="I7" sqref="I7"/>
    </sheetView>
  </sheetViews>
  <sheetFormatPr defaultRowHeight="20.100000000000001" customHeight="1" x14ac:dyDescent="0.25"/>
  <cols>
    <col min="1" max="1" width="9.140625" style="47"/>
    <col min="2" max="2" width="13.5703125" style="15" customWidth="1"/>
    <col min="3" max="3" width="19.5703125" style="68" customWidth="1"/>
    <col min="4" max="4" width="8.140625" style="18" customWidth="1"/>
    <col min="5" max="5" width="9.7109375" style="44" customWidth="1"/>
    <col min="6" max="6" width="16.5703125" style="36" customWidth="1"/>
    <col min="7" max="7" width="14.42578125" style="36" customWidth="1"/>
    <col min="8" max="8" width="9.140625" style="36" customWidth="1"/>
    <col min="9" max="9" width="17.28515625" style="51" customWidth="1"/>
    <col min="10" max="10" width="16.28515625" style="58" customWidth="1"/>
    <col min="11" max="11" width="31.7109375" style="41" customWidth="1"/>
    <col min="12" max="14" width="9.140625" style="42"/>
    <col min="15" max="16384" width="9.140625" style="1"/>
  </cols>
  <sheetData>
    <row r="1" spans="2:19" ht="20.100000000000001" customHeight="1" x14ac:dyDescent="0.25">
      <c r="B1" s="231"/>
      <c r="C1" s="59"/>
      <c r="D1" s="241" t="s">
        <v>159</v>
      </c>
      <c r="E1" s="241"/>
      <c r="F1" s="241"/>
      <c r="G1" s="83"/>
      <c r="H1" s="83"/>
      <c r="I1" s="83"/>
      <c r="J1" s="81"/>
      <c r="K1" s="232" t="s">
        <v>158</v>
      </c>
    </row>
    <row r="2" spans="2:19" ht="20.100000000000001" customHeight="1" x14ac:dyDescent="0.25">
      <c r="B2" s="231"/>
      <c r="C2" s="60"/>
      <c r="D2" s="242"/>
      <c r="E2" s="242"/>
      <c r="F2" s="242"/>
      <c r="G2" s="83"/>
      <c r="H2" s="83"/>
      <c r="I2" s="83"/>
      <c r="J2" s="33" t="s">
        <v>156</v>
      </c>
      <c r="K2" s="232"/>
    </row>
    <row r="3" spans="2:19" ht="20.100000000000001" customHeight="1" x14ac:dyDescent="0.25">
      <c r="B3" s="231"/>
      <c r="C3" s="61"/>
      <c r="D3" s="243" t="s">
        <v>79</v>
      </c>
      <c r="E3" s="243"/>
      <c r="F3" s="243"/>
      <c r="G3" s="84"/>
      <c r="H3" s="84"/>
      <c r="I3" s="84"/>
      <c r="J3" s="77">
        <f>J6+(SUM(F7:F298)-SUM(G7:G298))</f>
        <v>192206</v>
      </c>
      <c r="K3" s="233">
        <f ca="1">(TODAY())</f>
        <v>43928</v>
      </c>
    </row>
    <row r="4" spans="2:19" ht="20.100000000000001" customHeight="1" x14ac:dyDescent="0.25">
      <c r="B4" s="231"/>
      <c r="C4" s="61"/>
      <c r="D4" s="244" t="s">
        <v>147</v>
      </c>
      <c r="E4" s="244"/>
      <c r="F4" s="244"/>
      <c r="G4" s="82"/>
      <c r="H4" s="82"/>
      <c r="I4" s="82"/>
      <c r="J4" s="82"/>
      <c r="K4" s="233"/>
    </row>
    <row r="5" spans="2:19" ht="20.100000000000001" customHeight="1" x14ac:dyDescent="0.35">
      <c r="B5" s="29" t="s">
        <v>0</v>
      </c>
      <c r="C5" s="62" t="s">
        <v>166</v>
      </c>
      <c r="D5" s="30" t="s">
        <v>172</v>
      </c>
      <c r="E5" s="32" t="s">
        <v>173</v>
      </c>
      <c r="F5" s="31" t="s">
        <v>168</v>
      </c>
      <c r="G5" s="31" t="s">
        <v>169</v>
      </c>
      <c r="H5" s="31" t="s">
        <v>174</v>
      </c>
      <c r="I5" s="32" t="s">
        <v>177</v>
      </c>
      <c r="J5" s="75" t="s">
        <v>156</v>
      </c>
      <c r="K5" s="32" t="s">
        <v>167</v>
      </c>
      <c r="O5" s="2"/>
      <c r="P5" s="2"/>
      <c r="Q5" s="2"/>
      <c r="R5" s="2"/>
      <c r="S5" s="2"/>
    </row>
    <row r="6" spans="2:19" ht="20.100000000000001" customHeight="1" x14ac:dyDescent="0.25">
      <c r="B6" s="69" t="s">
        <v>178</v>
      </c>
      <c r="C6" s="70">
        <v>43922</v>
      </c>
      <c r="D6" s="71"/>
      <c r="E6" s="72"/>
      <c r="F6" s="73"/>
      <c r="G6" s="73"/>
      <c r="H6" s="73"/>
      <c r="I6" s="72"/>
      <c r="J6" s="74">
        <v>235465</v>
      </c>
      <c r="K6" s="72"/>
      <c r="M6" s="42">
        <f>250*50</f>
        <v>12500</v>
      </c>
      <c r="O6" s="2"/>
      <c r="P6" s="2"/>
      <c r="Q6" s="2"/>
      <c r="R6" s="2"/>
      <c r="S6" s="2"/>
    </row>
    <row r="7" spans="2:19" ht="20.100000000000001" customHeight="1" x14ac:dyDescent="0.25">
      <c r="B7" s="3">
        <v>1</v>
      </c>
      <c r="C7" s="63">
        <v>43923</v>
      </c>
      <c r="D7" s="4" t="s">
        <v>170</v>
      </c>
      <c r="E7" s="48">
        <v>234</v>
      </c>
      <c r="F7" s="34">
        <v>156741</v>
      </c>
      <c r="G7" s="34"/>
      <c r="H7" s="34"/>
      <c r="I7" s="50"/>
      <c r="J7" s="76">
        <f>J6+F7-G7</f>
        <v>392206</v>
      </c>
      <c r="K7" s="37"/>
    </row>
    <row r="8" spans="2:19" ht="20.100000000000001" customHeight="1" x14ac:dyDescent="0.25">
      <c r="B8" s="6">
        <v>2</v>
      </c>
      <c r="C8" s="64">
        <v>43926</v>
      </c>
      <c r="D8" s="4" t="s">
        <v>171</v>
      </c>
      <c r="E8" s="49">
        <v>3456</v>
      </c>
      <c r="F8" s="35"/>
      <c r="G8" s="35">
        <v>50000</v>
      </c>
      <c r="H8" s="34" t="s">
        <v>175</v>
      </c>
      <c r="J8" s="76">
        <f t="shared" ref="J8:J71" si="0">J7+F8-G8</f>
        <v>342206</v>
      </c>
      <c r="K8" s="38"/>
    </row>
    <row r="9" spans="2:19" ht="20.100000000000001" customHeight="1" x14ac:dyDescent="0.25">
      <c r="B9" s="6">
        <v>3</v>
      </c>
      <c r="C9" s="64">
        <v>43931</v>
      </c>
      <c r="D9" s="4" t="s">
        <v>171</v>
      </c>
      <c r="E9" s="49">
        <v>2345</v>
      </c>
      <c r="F9" s="35"/>
      <c r="G9" s="35">
        <v>50000</v>
      </c>
      <c r="H9" s="34" t="s">
        <v>176</v>
      </c>
      <c r="I9" s="51" t="s">
        <v>181</v>
      </c>
      <c r="J9" s="76">
        <f t="shared" si="0"/>
        <v>292206</v>
      </c>
      <c r="K9" s="38"/>
    </row>
    <row r="10" spans="2:19" ht="20.100000000000001" customHeight="1" x14ac:dyDescent="0.25">
      <c r="B10" s="6">
        <v>4</v>
      </c>
      <c r="C10" s="64">
        <v>43936</v>
      </c>
      <c r="D10" s="4" t="s">
        <v>171</v>
      </c>
      <c r="E10" s="49">
        <v>3452</v>
      </c>
      <c r="F10" s="35"/>
      <c r="G10" s="35">
        <v>50000</v>
      </c>
      <c r="H10" s="34"/>
      <c r="J10" s="76">
        <f t="shared" si="0"/>
        <v>242206</v>
      </c>
      <c r="K10" s="38"/>
    </row>
    <row r="11" spans="2:19" ht="20.100000000000001" customHeight="1" x14ac:dyDescent="0.25">
      <c r="B11" s="6">
        <v>5</v>
      </c>
      <c r="C11" s="64"/>
      <c r="D11" s="4"/>
      <c r="E11" s="49"/>
      <c r="F11" s="35"/>
      <c r="G11" s="35">
        <v>50000</v>
      </c>
      <c r="H11" s="34"/>
      <c r="J11" s="76">
        <f t="shared" si="0"/>
        <v>192206</v>
      </c>
      <c r="K11" s="38"/>
    </row>
    <row r="12" spans="2:19" ht="20.100000000000001" customHeight="1" x14ac:dyDescent="0.25">
      <c r="B12" s="6">
        <v>6</v>
      </c>
      <c r="C12" s="64"/>
      <c r="D12" s="4"/>
      <c r="E12" s="43"/>
      <c r="F12" s="35"/>
      <c r="G12" s="35"/>
      <c r="H12" s="34"/>
      <c r="J12" s="76">
        <f t="shared" si="0"/>
        <v>192206</v>
      </c>
      <c r="K12" s="38"/>
    </row>
    <row r="13" spans="2:19" ht="20.100000000000001" customHeight="1" x14ac:dyDescent="0.25">
      <c r="B13" s="6">
        <v>7</v>
      </c>
      <c r="C13" s="64"/>
      <c r="D13" s="4"/>
      <c r="E13" s="43"/>
      <c r="F13" s="35"/>
      <c r="G13" s="35"/>
      <c r="H13" s="34"/>
      <c r="J13" s="76">
        <f t="shared" si="0"/>
        <v>192206</v>
      </c>
      <c r="K13" s="38"/>
    </row>
    <row r="14" spans="2:19" ht="20.100000000000001" customHeight="1" x14ac:dyDescent="0.25">
      <c r="B14" s="6">
        <v>8</v>
      </c>
      <c r="C14" s="64"/>
      <c r="D14" s="4"/>
      <c r="E14" s="43"/>
      <c r="F14" s="35"/>
      <c r="G14" s="35"/>
      <c r="H14" s="34"/>
      <c r="J14" s="76">
        <f t="shared" si="0"/>
        <v>192206</v>
      </c>
      <c r="K14" s="38"/>
      <c r="P14" s="1">
        <f>'AB AHAD MIR-OLD'!Q13:Q14</f>
        <v>0</v>
      </c>
    </row>
    <row r="15" spans="2:19" ht="20.100000000000001" customHeight="1" x14ac:dyDescent="0.25">
      <c r="B15" s="6">
        <v>9</v>
      </c>
      <c r="C15" s="64"/>
      <c r="D15" s="4"/>
      <c r="E15" s="43"/>
      <c r="F15" s="35"/>
      <c r="G15" s="35"/>
      <c r="H15" s="34"/>
      <c r="J15" s="76">
        <f t="shared" si="0"/>
        <v>192206</v>
      </c>
      <c r="K15" s="38"/>
    </row>
    <row r="16" spans="2:19" ht="20.100000000000001" customHeight="1" x14ac:dyDescent="0.25">
      <c r="B16" s="6">
        <v>10</v>
      </c>
      <c r="C16" s="64"/>
      <c r="D16" s="4"/>
      <c r="E16" s="43"/>
      <c r="F16" s="35"/>
      <c r="G16" s="35"/>
      <c r="H16" s="34"/>
      <c r="J16" s="76">
        <f t="shared" si="0"/>
        <v>192206</v>
      </c>
      <c r="K16" s="38"/>
    </row>
    <row r="17" spans="2:16" ht="20.100000000000001" customHeight="1" x14ac:dyDescent="0.25">
      <c r="B17" s="6">
        <v>11</v>
      </c>
      <c r="C17" s="64"/>
      <c r="D17" s="4"/>
      <c r="E17" s="43"/>
      <c r="F17" s="35"/>
      <c r="G17" s="35"/>
      <c r="H17" s="34"/>
      <c r="J17" s="76">
        <f t="shared" si="0"/>
        <v>192206</v>
      </c>
      <c r="K17" s="38"/>
      <c r="P17" s="52"/>
    </row>
    <row r="18" spans="2:16" ht="20.100000000000001" customHeight="1" x14ac:dyDescent="0.25">
      <c r="B18" s="6">
        <v>12</v>
      </c>
      <c r="C18" s="64"/>
      <c r="D18" s="4"/>
      <c r="E18" s="43"/>
      <c r="F18" s="35"/>
      <c r="G18" s="35"/>
      <c r="H18" s="34"/>
      <c r="J18" s="76">
        <f t="shared" si="0"/>
        <v>192206</v>
      </c>
      <c r="K18" s="38"/>
    </row>
    <row r="19" spans="2:16" ht="20.100000000000001" customHeight="1" x14ac:dyDescent="0.25">
      <c r="B19" s="6">
        <v>13</v>
      </c>
      <c r="C19" s="64"/>
      <c r="D19" s="4"/>
      <c r="E19" s="43"/>
      <c r="F19" s="35"/>
      <c r="G19" s="35"/>
      <c r="H19" s="34"/>
      <c r="J19" s="76">
        <f t="shared" si="0"/>
        <v>192206</v>
      </c>
      <c r="K19" s="38"/>
    </row>
    <row r="20" spans="2:16" ht="20.100000000000001" customHeight="1" x14ac:dyDescent="0.25">
      <c r="B20" s="6">
        <v>14</v>
      </c>
      <c r="C20" s="65"/>
      <c r="D20" s="4"/>
      <c r="E20" s="43"/>
      <c r="F20" s="35"/>
      <c r="G20" s="35"/>
      <c r="H20" s="34"/>
      <c r="J20" s="76">
        <f t="shared" si="0"/>
        <v>192206</v>
      </c>
      <c r="K20" s="38"/>
    </row>
    <row r="21" spans="2:16" ht="20.100000000000001" customHeight="1" x14ac:dyDescent="0.25">
      <c r="B21" s="6"/>
      <c r="C21" s="64"/>
      <c r="D21" s="4"/>
      <c r="E21" s="43"/>
      <c r="F21" s="35"/>
      <c r="G21" s="35"/>
      <c r="H21" s="34"/>
      <c r="J21" s="76">
        <f t="shared" si="0"/>
        <v>192206</v>
      </c>
      <c r="K21" s="38"/>
    </row>
    <row r="22" spans="2:16" ht="20.100000000000001" customHeight="1" x14ac:dyDescent="0.25">
      <c r="B22" s="6"/>
      <c r="C22" s="64"/>
      <c r="D22" s="4"/>
      <c r="E22" s="43"/>
      <c r="F22" s="35"/>
      <c r="G22" s="35"/>
      <c r="H22" s="34"/>
      <c r="J22" s="76">
        <f t="shared" si="0"/>
        <v>192206</v>
      </c>
      <c r="K22" s="38"/>
    </row>
    <row r="23" spans="2:16" ht="20.100000000000001" customHeight="1" x14ac:dyDescent="0.25">
      <c r="B23" s="6"/>
      <c r="C23" s="64"/>
      <c r="D23" s="4"/>
      <c r="E23" s="43"/>
      <c r="F23" s="35"/>
      <c r="G23" s="35"/>
      <c r="H23" s="34"/>
      <c r="J23" s="76">
        <f t="shared" si="0"/>
        <v>192206</v>
      </c>
      <c r="K23" s="38"/>
    </row>
    <row r="24" spans="2:16" ht="20.100000000000001" customHeight="1" x14ac:dyDescent="0.25">
      <c r="B24" s="6"/>
      <c r="C24" s="64"/>
      <c r="D24" s="4"/>
      <c r="E24" s="43"/>
      <c r="F24" s="35"/>
      <c r="G24" s="35"/>
      <c r="H24" s="34"/>
      <c r="J24" s="76">
        <f t="shared" si="0"/>
        <v>192206</v>
      </c>
      <c r="K24" s="38"/>
    </row>
    <row r="25" spans="2:16" ht="20.100000000000001" customHeight="1" x14ac:dyDescent="0.25">
      <c r="B25" s="6"/>
      <c r="C25" s="64"/>
      <c r="D25" s="4"/>
      <c r="E25" s="43"/>
      <c r="F25" s="35"/>
      <c r="G25" s="35"/>
      <c r="H25" s="34"/>
      <c r="J25" s="76">
        <f t="shared" si="0"/>
        <v>192206</v>
      </c>
      <c r="K25" s="39"/>
    </row>
    <row r="26" spans="2:16" ht="20.100000000000001" customHeight="1" x14ac:dyDescent="0.25">
      <c r="B26" s="6"/>
      <c r="C26" s="64"/>
      <c r="D26" s="4"/>
      <c r="E26" s="43"/>
      <c r="F26" s="35"/>
      <c r="G26" s="35"/>
      <c r="H26" s="34"/>
      <c r="J26" s="76">
        <f t="shared" si="0"/>
        <v>192206</v>
      </c>
      <c r="K26" s="39"/>
    </row>
    <row r="27" spans="2:16" ht="20.100000000000001" customHeight="1" x14ac:dyDescent="0.25">
      <c r="B27" s="6"/>
      <c r="C27" s="64"/>
      <c r="D27" s="4"/>
      <c r="E27" s="43"/>
      <c r="F27" s="35"/>
      <c r="G27" s="35"/>
      <c r="H27" s="34"/>
      <c r="J27" s="76">
        <f t="shared" si="0"/>
        <v>192206</v>
      </c>
      <c r="K27" s="39"/>
    </row>
    <row r="28" spans="2:16" ht="20.100000000000001" customHeight="1" x14ac:dyDescent="0.25">
      <c r="B28" s="6"/>
      <c r="C28" s="64"/>
      <c r="D28" s="4"/>
      <c r="E28" s="43"/>
      <c r="F28" s="35"/>
      <c r="G28" s="35"/>
      <c r="H28" s="34"/>
      <c r="J28" s="76">
        <f t="shared" si="0"/>
        <v>192206</v>
      </c>
      <c r="K28" s="39"/>
    </row>
    <row r="29" spans="2:16" ht="20.100000000000001" customHeight="1" x14ac:dyDescent="0.25">
      <c r="B29" s="6"/>
      <c r="C29" s="64"/>
      <c r="D29" s="4"/>
      <c r="E29" s="43"/>
      <c r="F29" s="35"/>
      <c r="G29" s="35"/>
      <c r="H29" s="34"/>
      <c r="J29" s="76">
        <f t="shared" si="0"/>
        <v>192206</v>
      </c>
      <c r="K29" s="39"/>
    </row>
    <row r="30" spans="2:16" ht="20.100000000000001" customHeight="1" x14ac:dyDescent="0.25">
      <c r="B30" s="6"/>
      <c r="C30" s="64"/>
      <c r="D30" s="4"/>
      <c r="E30" s="43"/>
      <c r="F30" s="35"/>
      <c r="G30" s="35"/>
      <c r="H30" s="34"/>
      <c r="J30" s="76">
        <f t="shared" si="0"/>
        <v>192206</v>
      </c>
      <c r="K30" s="39"/>
    </row>
    <row r="31" spans="2:16" ht="20.100000000000001" customHeight="1" x14ac:dyDescent="0.25">
      <c r="B31" s="6"/>
      <c r="C31" s="64"/>
      <c r="D31" s="4"/>
      <c r="E31" s="43"/>
      <c r="F31" s="35"/>
      <c r="G31" s="35"/>
      <c r="H31" s="34"/>
      <c r="J31" s="76">
        <f t="shared" si="0"/>
        <v>192206</v>
      </c>
      <c r="K31" s="39"/>
    </row>
    <row r="32" spans="2:16" ht="20.100000000000001" customHeight="1" x14ac:dyDescent="0.25">
      <c r="B32" s="6"/>
      <c r="C32" s="64"/>
      <c r="D32" s="4"/>
      <c r="E32" s="43"/>
      <c r="F32" s="35"/>
      <c r="G32" s="35"/>
      <c r="H32" s="34"/>
      <c r="J32" s="76">
        <f t="shared" si="0"/>
        <v>192206</v>
      </c>
      <c r="K32" s="39"/>
    </row>
    <row r="33" spans="2:11" ht="20.100000000000001" customHeight="1" x14ac:dyDescent="0.25">
      <c r="B33" s="6"/>
      <c r="C33" s="64"/>
      <c r="D33" s="4"/>
      <c r="E33" s="43"/>
      <c r="F33" s="35"/>
      <c r="G33" s="35"/>
      <c r="H33" s="34"/>
      <c r="J33" s="76">
        <f t="shared" si="0"/>
        <v>192206</v>
      </c>
      <c r="K33" s="39"/>
    </row>
    <row r="34" spans="2:11" ht="20.100000000000001" customHeight="1" x14ac:dyDescent="0.25">
      <c r="B34" s="6"/>
      <c r="C34" s="64"/>
      <c r="D34" s="4"/>
      <c r="E34" s="43"/>
      <c r="F34" s="35"/>
      <c r="G34" s="35"/>
      <c r="H34" s="34"/>
      <c r="J34" s="76">
        <f t="shared" si="0"/>
        <v>192206</v>
      </c>
      <c r="K34" s="39"/>
    </row>
    <row r="35" spans="2:11" ht="20.100000000000001" customHeight="1" x14ac:dyDescent="0.25">
      <c r="B35" s="11"/>
      <c r="C35" s="64"/>
      <c r="D35" s="4"/>
      <c r="E35" s="43"/>
      <c r="F35" s="35"/>
      <c r="G35" s="35"/>
      <c r="H35" s="34"/>
      <c r="J35" s="76">
        <f t="shared" si="0"/>
        <v>192206</v>
      </c>
      <c r="K35" s="39"/>
    </row>
    <row r="36" spans="2:11" ht="20.100000000000001" customHeight="1" x14ac:dyDescent="0.25">
      <c r="B36" s="11"/>
      <c r="C36" s="64"/>
      <c r="D36" s="4"/>
      <c r="E36" s="43"/>
      <c r="F36" s="35"/>
      <c r="G36" s="35"/>
      <c r="H36" s="34"/>
      <c r="J36" s="76">
        <f t="shared" si="0"/>
        <v>192206</v>
      </c>
      <c r="K36" s="39"/>
    </row>
    <row r="37" spans="2:11" ht="20.100000000000001" customHeight="1" x14ac:dyDescent="0.25">
      <c r="B37" s="11"/>
      <c r="C37" s="64"/>
      <c r="D37" s="4"/>
      <c r="E37" s="43"/>
      <c r="F37" s="35"/>
      <c r="G37" s="35"/>
      <c r="H37" s="34"/>
      <c r="J37" s="76">
        <f t="shared" si="0"/>
        <v>192206</v>
      </c>
      <c r="K37" s="39"/>
    </row>
    <row r="38" spans="2:11" ht="20.100000000000001" customHeight="1" x14ac:dyDescent="0.25">
      <c r="B38" s="11"/>
      <c r="C38" s="64"/>
      <c r="D38" s="4"/>
      <c r="E38" s="43"/>
      <c r="F38" s="35"/>
      <c r="G38" s="35"/>
      <c r="H38" s="34"/>
      <c r="J38" s="76">
        <f t="shared" si="0"/>
        <v>192206</v>
      </c>
      <c r="K38" s="39"/>
    </row>
    <row r="39" spans="2:11" ht="20.100000000000001" customHeight="1" x14ac:dyDescent="0.25">
      <c r="B39" s="11"/>
      <c r="C39" s="64"/>
      <c r="D39" s="4"/>
      <c r="E39" s="43"/>
      <c r="F39" s="35"/>
      <c r="G39" s="35"/>
      <c r="H39" s="34"/>
      <c r="J39" s="76">
        <f t="shared" si="0"/>
        <v>192206</v>
      </c>
      <c r="K39" s="39"/>
    </row>
    <row r="40" spans="2:11" ht="20.100000000000001" customHeight="1" x14ac:dyDescent="0.25">
      <c r="B40" s="11"/>
      <c r="C40" s="64"/>
      <c r="D40" s="4"/>
      <c r="E40" s="43"/>
      <c r="F40" s="35"/>
      <c r="G40" s="35"/>
      <c r="H40" s="34"/>
      <c r="J40" s="76">
        <f t="shared" si="0"/>
        <v>192206</v>
      </c>
      <c r="K40" s="39"/>
    </row>
    <row r="41" spans="2:11" ht="20.100000000000001" customHeight="1" x14ac:dyDescent="0.25">
      <c r="B41" s="11"/>
      <c r="C41" s="64"/>
      <c r="D41" s="4"/>
      <c r="E41" s="43"/>
      <c r="F41" s="35"/>
      <c r="G41" s="35"/>
      <c r="H41" s="34"/>
      <c r="J41" s="76">
        <f t="shared" si="0"/>
        <v>192206</v>
      </c>
      <c r="K41" s="39"/>
    </row>
    <row r="42" spans="2:11" ht="20.100000000000001" customHeight="1" x14ac:dyDescent="0.25">
      <c r="B42" s="11"/>
      <c r="C42" s="64"/>
      <c r="D42" s="4"/>
      <c r="E42" s="43"/>
      <c r="F42" s="35"/>
      <c r="G42" s="35"/>
      <c r="H42" s="34"/>
      <c r="J42" s="76">
        <f t="shared" si="0"/>
        <v>192206</v>
      </c>
      <c r="K42" s="39"/>
    </row>
    <row r="43" spans="2:11" ht="20.100000000000001" customHeight="1" x14ac:dyDescent="0.25">
      <c r="B43" s="11"/>
      <c r="C43" s="64"/>
      <c r="D43" s="4"/>
      <c r="E43" s="43"/>
      <c r="F43" s="35"/>
      <c r="G43" s="35"/>
      <c r="H43" s="34"/>
      <c r="J43" s="76">
        <f t="shared" si="0"/>
        <v>192206</v>
      </c>
      <c r="K43" s="39"/>
    </row>
    <row r="44" spans="2:11" ht="20.100000000000001" customHeight="1" x14ac:dyDescent="0.25">
      <c r="B44" s="11"/>
      <c r="C44" s="64"/>
      <c r="D44" s="4"/>
      <c r="E44" s="43"/>
      <c r="F44" s="35"/>
      <c r="G44" s="35"/>
      <c r="H44" s="34"/>
      <c r="J44" s="76">
        <f t="shared" si="0"/>
        <v>192206</v>
      </c>
      <c r="K44" s="39"/>
    </row>
    <row r="45" spans="2:11" ht="20.100000000000001" customHeight="1" x14ac:dyDescent="0.25">
      <c r="B45" s="11"/>
      <c r="C45" s="64"/>
      <c r="D45" s="4"/>
      <c r="E45" s="43"/>
      <c r="F45" s="35"/>
      <c r="G45" s="35"/>
      <c r="H45" s="34"/>
      <c r="J45" s="76">
        <f t="shared" si="0"/>
        <v>192206</v>
      </c>
      <c r="K45" s="39"/>
    </row>
    <row r="46" spans="2:11" ht="20.100000000000001" customHeight="1" x14ac:dyDescent="0.25">
      <c r="B46" s="11"/>
      <c r="C46" s="64"/>
      <c r="D46" s="4"/>
      <c r="E46" s="43"/>
      <c r="F46" s="35"/>
      <c r="G46" s="35"/>
      <c r="H46" s="34"/>
      <c r="J46" s="76">
        <f t="shared" si="0"/>
        <v>192206</v>
      </c>
      <c r="K46" s="39"/>
    </row>
    <row r="47" spans="2:11" ht="20.100000000000001" customHeight="1" x14ac:dyDescent="0.25">
      <c r="B47" s="11"/>
      <c r="C47" s="64"/>
      <c r="D47" s="4"/>
      <c r="E47" s="43"/>
      <c r="F47" s="35"/>
      <c r="G47" s="35"/>
      <c r="H47" s="34"/>
      <c r="J47" s="76">
        <f t="shared" si="0"/>
        <v>192206</v>
      </c>
      <c r="K47" s="39"/>
    </row>
    <row r="48" spans="2:11" ht="20.100000000000001" customHeight="1" x14ac:dyDescent="0.25">
      <c r="B48" s="11"/>
      <c r="C48" s="64"/>
      <c r="D48" s="4"/>
      <c r="E48" s="43"/>
      <c r="F48" s="35"/>
      <c r="G48" s="35"/>
      <c r="H48" s="34"/>
      <c r="J48" s="76">
        <f t="shared" si="0"/>
        <v>192206</v>
      </c>
      <c r="K48" s="39"/>
    </row>
    <row r="49" spans="2:11" ht="20.100000000000001" customHeight="1" x14ac:dyDescent="0.25">
      <c r="B49" s="11"/>
      <c r="C49" s="64"/>
      <c r="D49" s="4"/>
      <c r="E49" s="43"/>
      <c r="F49" s="35"/>
      <c r="G49" s="35"/>
      <c r="H49" s="34"/>
      <c r="J49" s="76">
        <f t="shared" si="0"/>
        <v>192206</v>
      </c>
      <c r="K49" s="39"/>
    </row>
    <row r="50" spans="2:11" ht="20.100000000000001" customHeight="1" x14ac:dyDescent="0.25">
      <c r="B50" s="11"/>
      <c r="C50" s="64"/>
      <c r="D50" s="4"/>
      <c r="E50" s="43"/>
      <c r="F50" s="35"/>
      <c r="G50" s="35"/>
      <c r="H50" s="34"/>
      <c r="J50" s="76">
        <f t="shared" si="0"/>
        <v>192206</v>
      </c>
      <c r="K50" s="39"/>
    </row>
    <row r="51" spans="2:11" ht="20.100000000000001" customHeight="1" x14ac:dyDescent="0.25">
      <c r="B51" s="11"/>
      <c r="C51" s="64"/>
      <c r="D51" s="4"/>
      <c r="E51" s="43"/>
      <c r="F51" s="35"/>
      <c r="G51" s="35"/>
      <c r="H51" s="34"/>
      <c r="J51" s="76">
        <f t="shared" si="0"/>
        <v>192206</v>
      </c>
      <c r="K51" s="39"/>
    </row>
    <row r="52" spans="2:11" ht="20.100000000000001" customHeight="1" x14ac:dyDescent="0.25">
      <c r="B52" s="11"/>
      <c r="C52" s="64"/>
      <c r="D52" s="4"/>
      <c r="E52" s="43"/>
      <c r="F52" s="35"/>
      <c r="G52" s="35"/>
      <c r="H52" s="34"/>
      <c r="J52" s="76">
        <f t="shared" si="0"/>
        <v>192206</v>
      </c>
      <c r="K52" s="39"/>
    </row>
    <row r="53" spans="2:11" ht="20.100000000000001" customHeight="1" x14ac:dyDescent="0.25">
      <c r="B53" s="11"/>
      <c r="C53" s="64"/>
      <c r="D53" s="4"/>
      <c r="E53" s="43"/>
      <c r="F53" s="35"/>
      <c r="G53" s="35"/>
      <c r="H53" s="34"/>
      <c r="J53" s="76">
        <f t="shared" si="0"/>
        <v>192206</v>
      </c>
      <c r="K53" s="39"/>
    </row>
    <row r="54" spans="2:11" ht="20.100000000000001" customHeight="1" x14ac:dyDescent="0.25">
      <c r="B54" s="11"/>
      <c r="C54" s="64"/>
      <c r="D54" s="4"/>
      <c r="E54" s="43"/>
      <c r="F54" s="35"/>
      <c r="G54" s="35"/>
      <c r="H54" s="34"/>
      <c r="J54" s="76">
        <f t="shared" si="0"/>
        <v>192206</v>
      </c>
      <c r="K54" s="39"/>
    </row>
    <row r="55" spans="2:11" ht="20.100000000000001" customHeight="1" x14ac:dyDescent="0.25">
      <c r="B55" s="11"/>
      <c r="C55" s="64"/>
      <c r="D55" s="4"/>
      <c r="E55" s="43"/>
      <c r="F55" s="35"/>
      <c r="G55" s="35"/>
      <c r="H55" s="34"/>
      <c r="J55" s="76">
        <f t="shared" si="0"/>
        <v>192206</v>
      </c>
      <c r="K55" s="39"/>
    </row>
    <row r="56" spans="2:11" ht="20.100000000000001" customHeight="1" x14ac:dyDescent="0.25">
      <c r="B56" s="11"/>
      <c r="C56" s="64"/>
      <c r="D56" s="4"/>
      <c r="E56" s="43"/>
      <c r="F56" s="35"/>
      <c r="G56" s="35"/>
      <c r="H56" s="34"/>
      <c r="J56" s="76">
        <f t="shared" si="0"/>
        <v>192206</v>
      </c>
      <c r="K56" s="39"/>
    </row>
    <row r="57" spans="2:11" ht="20.100000000000001" customHeight="1" x14ac:dyDescent="0.25">
      <c r="B57" s="11"/>
      <c r="C57" s="64"/>
      <c r="D57" s="4"/>
      <c r="E57" s="43"/>
      <c r="F57" s="35"/>
      <c r="G57" s="35"/>
      <c r="H57" s="34"/>
      <c r="J57" s="76">
        <f t="shared" si="0"/>
        <v>192206</v>
      </c>
      <c r="K57" s="39"/>
    </row>
    <row r="58" spans="2:11" ht="20.100000000000001" customHeight="1" x14ac:dyDescent="0.25">
      <c r="B58" s="11"/>
      <c r="C58" s="64"/>
      <c r="D58" s="4"/>
      <c r="E58" s="43"/>
      <c r="F58" s="35"/>
      <c r="G58" s="35"/>
      <c r="H58" s="34"/>
      <c r="J58" s="76">
        <f t="shared" si="0"/>
        <v>192206</v>
      </c>
      <c r="K58" s="39"/>
    </row>
    <row r="59" spans="2:11" ht="20.100000000000001" customHeight="1" x14ac:dyDescent="0.25">
      <c r="B59" s="11"/>
      <c r="C59" s="64"/>
      <c r="D59" s="4"/>
      <c r="E59" s="43"/>
      <c r="F59" s="35"/>
      <c r="G59" s="35"/>
      <c r="H59" s="34"/>
      <c r="J59" s="76">
        <f t="shared" si="0"/>
        <v>192206</v>
      </c>
      <c r="K59" s="39"/>
    </row>
    <row r="60" spans="2:11" ht="20.100000000000001" customHeight="1" x14ac:dyDescent="0.25">
      <c r="B60" s="11"/>
      <c r="C60" s="64"/>
      <c r="D60" s="4"/>
      <c r="E60" s="43"/>
      <c r="F60" s="35"/>
      <c r="G60" s="35"/>
      <c r="H60" s="34"/>
      <c r="J60" s="76">
        <f t="shared" si="0"/>
        <v>192206</v>
      </c>
      <c r="K60" s="39"/>
    </row>
    <row r="61" spans="2:11" ht="20.100000000000001" customHeight="1" x14ac:dyDescent="0.25">
      <c r="B61" s="11"/>
      <c r="C61" s="64"/>
      <c r="D61" s="4"/>
      <c r="E61" s="43"/>
      <c r="F61" s="35"/>
      <c r="G61" s="35"/>
      <c r="H61" s="34"/>
      <c r="J61" s="76">
        <f t="shared" si="0"/>
        <v>192206</v>
      </c>
      <c r="K61" s="39"/>
    </row>
    <row r="62" spans="2:11" ht="20.100000000000001" customHeight="1" x14ac:dyDescent="0.25">
      <c r="B62" s="11"/>
      <c r="C62" s="64"/>
      <c r="D62" s="4"/>
      <c r="E62" s="43"/>
      <c r="F62" s="35"/>
      <c r="G62" s="35"/>
      <c r="H62" s="34"/>
      <c r="J62" s="76">
        <f t="shared" si="0"/>
        <v>192206</v>
      </c>
      <c r="K62" s="39"/>
    </row>
    <row r="63" spans="2:11" ht="20.100000000000001" customHeight="1" x14ac:dyDescent="0.25">
      <c r="B63" s="11"/>
      <c r="C63" s="64"/>
      <c r="D63" s="4"/>
      <c r="E63" s="43"/>
      <c r="F63" s="35"/>
      <c r="G63" s="35"/>
      <c r="H63" s="34"/>
      <c r="J63" s="76">
        <f t="shared" si="0"/>
        <v>192206</v>
      </c>
      <c r="K63" s="39"/>
    </row>
    <row r="64" spans="2:11" ht="20.100000000000001" customHeight="1" x14ac:dyDescent="0.25">
      <c r="B64" s="11"/>
      <c r="C64" s="64"/>
      <c r="D64" s="4"/>
      <c r="E64" s="43"/>
      <c r="F64" s="35"/>
      <c r="G64" s="35"/>
      <c r="H64" s="34"/>
      <c r="J64" s="76">
        <f t="shared" si="0"/>
        <v>192206</v>
      </c>
      <c r="K64" s="39"/>
    </row>
    <row r="65" spans="2:11" ht="20.100000000000001" customHeight="1" x14ac:dyDescent="0.25">
      <c r="B65" s="11"/>
      <c r="C65" s="64"/>
      <c r="D65" s="4"/>
      <c r="E65" s="43"/>
      <c r="F65" s="35"/>
      <c r="G65" s="35"/>
      <c r="H65" s="34"/>
      <c r="J65" s="76">
        <f t="shared" si="0"/>
        <v>192206</v>
      </c>
      <c r="K65" s="39"/>
    </row>
    <row r="66" spans="2:11" ht="20.100000000000001" customHeight="1" x14ac:dyDescent="0.25">
      <c r="B66" s="11"/>
      <c r="C66" s="64"/>
      <c r="D66" s="4"/>
      <c r="E66" s="43"/>
      <c r="F66" s="35"/>
      <c r="G66" s="35"/>
      <c r="H66" s="34"/>
      <c r="J66" s="76">
        <f t="shared" si="0"/>
        <v>192206</v>
      </c>
      <c r="K66" s="39"/>
    </row>
    <row r="67" spans="2:11" ht="20.100000000000001" customHeight="1" x14ac:dyDescent="0.25">
      <c r="B67" s="11"/>
      <c r="C67" s="64"/>
      <c r="D67" s="4"/>
      <c r="E67" s="43"/>
      <c r="F67" s="35"/>
      <c r="G67" s="35"/>
      <c r="H67" s="34"/>
      <c r="J67" s="76">
        <f t="shared" si="0"/>
        <v>192206</v>
      </c>
      <c r="K67" s="39"/>
    </row>
    <row r="68" spans="2:11" ht="20.100000000000001" customHeight="1" x14ac:dyDescent="0.25">
      <c r="B68" s="11"/>
      <c r="C68" s="64"/>
      <c r="D68" s="4"/>
      <c r="E68" s="43"/>
      <c r="F68" s="35"/>
      <c r="G68" s="35"/>
      <c r="H68" s="34"/>
      <c r="J68" s="76">
        <f t="shared" si="0"/>
        <v>192206</v>
      </c>
      <c r="K68" s="39"/>
    </row>
    <row r="69" spans="2:11" ht="20.100000000000001" customHeight="1" x14ac:dyDescent="0.25">
      <c r="B69" s="11"/>
      <c r="C69" s="64"/>
      <c r="D69" s="4"/>
      <c r="E69" s="43"/>
      <c r="F69" s="35"/>
      <c r="G69" s="35"/>
      <c r="H69" s="34"/>
      <c r="J69" s="76">
        <f t="shared" si="0"/>
        <v>192206</v>
      </c>
      <c r="K69" s="39"/>
    </row>
    <row r="70" spans="2:11" ht="20.100000000000001" customHeight="1" x14ac:dyDescent="0.25">
      <c r="B70" s="11"/>
      <c r="C70" s="64"/>
      <c r="D70" s="4"/>
      <c r="E70" s="43"/>
      <c r="F70" s="35"/>
      <c r="G70" s="35"/>
      <c r="H70" s="34"/>
      <c r="J70" s="76">
        <f t="shared" si="0"/>
        <v>192206</v>
      </c>
      <c r="K70" s="39"/>
    </row>
    <row r="71" spans="2:11" ht="20.100000000000001" customHeight="1" x14ac:dyDescent="0.25">
      <c r="B71" s="11"/>
      <c r="C71" s="64"/>
      <c r="D71" s="4"/>
      <c r="E71" s="43"/>
      <c r="F71" s="35"/>
      <c r="G71" s="35"/>
      <c r="H71" s="34"/>
      <c r="J71" s="76">
        <f t="shared" si="0"/>
        <v>192206</v>
      </c>
      <c r="K71" s="39"/>
    </row>
    <row r="72" spans="2:11" ht="20.100000000000001" customHeight="1" x14ac:dyDescent="0.25">
      <c r="B72" s="11"/>
      <c r="C72" s="64"/>
      <c r="D72" s="4"/>
      <c r="E72" s="43"/>
      <c r="F72" s="35"/>
      <c r="G72" s="35"/>
      <c r="H72" s="34"/>
      <c r="J72" s="76">
        <f t="shared" ref="J72:J135" si="1">J71+F72-G72</f>
        <v>192206</v>
      </c>
      <c r="K72" s="39"/>
    </row>
    <row r="73" spans="2:11" ht="20.100000000000001" customHeight="1" x14ac:dyDescent="0.25">
      <c r="B73" s="11"/>
      <c r="C73" s="64"/>
      <c r="D73" s="4"/>
      <c r="E73" s="43"/>
      <c r="F73" s="35"/>
      <c r="G73" s="35"/>
      <c r="H73" s="34"/>
      <c r="J73" s="76">
        <f t="shared" si="1"/>
        <v>192206</v>
      </c>
      <c r="K73" s="39"/>
    </row>
    <row r="74" spans="2:11" ht="20.100000000000001" customHeight="1" x14ac:dyDescent="0.25">
      <c r="B74" s="11"/>
      <c r="C74" s="64"/>
      <c r="D74" s="4"/>
      <c r="E74" s="43"/>
      <c r="F74" s="35"/>
      <c r="G74" s="35"/>
      <c r="H74" s="34"/>
      <c r="J74" s="76">
        <f t="shared" si="1"/>
        <v>192206</v>
      </c>
      <c r="K74" s="39"/>
    </row>
    <row r="75" spans="2:11" ht="20.100000000000001" customHeight="1" x14ac:dyDescent="0.25">
      <c r="B75" s="11"/>
      <c r="C75" s="64"/>
      <c r="D75" s="4"/>
      <c r="E75" s="43"/>
      <c r="F75" s="35"/>
      <c r="G75" s="35"/>
      <c r="H75" s="34"/>
      <c r="J75" s="76">
        <f t="shared" si="1"/>
        <v>192206</v>
      </c>
      <c r="K75" s="39"/>
    </row>
    <row r="76" spans="2:11" ht="20.100000000000001" customHeight="1" x14ac:dyDescent="0.25">
      <c r="B76" s="11"/>
      <c r="C76" s="64"/>
      <c r="D76" s="4"/>
      <c r="E76" s="43"/>
      <c r="F76" s="35"/>
      <c r="G76" s="35"/>
      <c r="H76" s="34"/>
      <c r="J76" s="76">
        <f t="shared" si="1"/>
        <v>192206</v>
      </c>
      <c r="K76" s="39"/>
    </row>
    <row r="77" spans="2:11" ht="20.100000000000001" customHeight="1" x14ac:dyDescent="0.25">
      <c r="B77" s="11"/>
      <c r="C77" s="64"/>
      <c r="D77" s="4"/>
      <c r="E77" s="43"/>
      <c r="F77" s="35"/>
      <c r="G77" s="35"/>
      <c r="H77" s="34"/>
      <c r="J77" s="76">
        <f t="shared" si="1"/>
        <v>192206</v>
      </c>
      <c r="K77" s="39"/>
    </row>
    <row r="78" spans="2:11" ht="20.100000000000001" customHeight="1" x14ac:dyDescent="0.25">
      <c r="B78" s="11"/>
      <c r="C78" s="64"/>
      <c r="D78" s="4"/>
      <c r="E78" s="43"/>
      <c r="F78" s="35"/>
      <c r="G78" s="35"/>
      <c r="H78" s="34"/>
      <c r="J78" s="76">
        <f t="shared" si="1"/>
        <v>192206</v>
      </c>
      <c r="K78" s="39"/>
    </row>
    <row r="79" spans="2:11" ht="20.100000000000001" customHeight="1" x14ac:dyDescent="0.25">
      <c r="B79" s="11"/>
      <c r="C79" s="64"/>
      <c r="D79" s="4"/>
      <c r="E79" s="43"/>
      <c r="F79" s="35"/>
      <c r="G79" s="35"/>
      <c r="H79" s="34"/>
      <c r="J79" s="76">
        <f t="shared" si="1"/>
        <v>192206</v>
      </c>
      <c r="K79" s="39"/>
    </row>
    <row r="80" spans="2:11" ht="20.100000000000001" customHeight="1" x14ac:dyDescent="0.25">
      <c r="B80" s="11"/>
      <c r="C80" s="64"/>
      <c r="D80" s="4"/>
      <c r="E80" s="43"/>
      <c r="F80" s="35"/>
      <c r="G80" s="35"/>
      <c r="H80" s="34"/>
      <c r="J80" s="76">
        <f t="shared" si="1"/>
        <v>192206</v>
      </c>
      <c r="K80" s="39"/>
    </row>
    <row r="81" spans="2:11" ht="20.100000000000001" customHeight="1" x14ac:dyDescent="0.25">
      <c r="B81" s="11"/>
      <c r="C81" s="64"/>
      <c r="D81" s="4"/>
      <c r="E81" s="43"/>
      <c r="F81" s="35"/>
      <c r="G81" s="35"/>
      <c r="H81" s="34"/>
      <c r="J81" s="76">
        <f t="shared" si="1"/>
        <v>192206</v>
      </c>
      <c r="K81" s="39"/>
    </row>
    <row r="82" spans="2:11" ht="20.100000000000001" customHeight="1" x14ac:dyDescent="0.25">
      <c r="B82" s="11"/>
      <c r="C82" s="64"/>
      <c r="D82" s="4"/>
      <c r="E82" s="43"/>
      <c r="F82" s="35"/>
      <c r="G82" s="35"/>
      <c r="H82" s="34"/>
      <c r="J82" s="76">
        <f t="shared" si="1"/>
        <v>192206</v>
      </c>
      <c r="K82" s="39"/>
    </row>
    <row r="83" spans="2:11" ht="20.100000000000001" customHeight="1" x14ac:dyDescent="0.25">
      <c r="B83" s="11"/>
      <c r="C83" s="64"/>
      <c r="D83" s="4"/>
      <c r="E83" s="43"/>
      <c r="F83" s="35"/>
      <c r="G83" s="35"/>
      <c r="H83" s="34"/>
      <c r="J83" s="76">
        <f t="shared" si="1"/>
        <v>192206</v>
      </c>
      <c r="K83" s="39"/>
    </row>
    <row r="84" spans="2:11" ht="20.100000000000001" customHeight="1" x14ac:dyDescent="0.25">
      <c r="B84" s="11"/>
      <c r="C84" s="64"/>
      <c r="D84" s="4"/>
      <c r="E84" s="43"/>
      <c r="F84" s="35"/>
      <c r="G84" s="35"/>
      <c r="H84" s="34"/>
      <c r="J84" s="76">
        <f t="shared" si="1"/>
        <v>192206</v>
      </c>
      <c r="K84" s="39"/>
    </row>
    <row r="85" spans="2:11" ht="20.100000000000001" customHeight="1" x14ac:dyDescent="0.25">
      <c r="B85" s="11"/>
      <c r="C85" s="64"/>
      <c r="D85" s="4"/>
      <c r="E85" s="43"/>
      <c r="F85" s="35"/>
      <c r="G85" s="35"/>
      <c r="H85" s="34"/>
      <c r="J85" s="76">
        <f t="shared" si="1"/>
        <v>192206</v>
      </c>
      <c r="K85" s="39"/>
    </row>
    <row r="86" spans="2:11" ht="20.100000000000001" customHeight="1" x14ac:dyDescent="0.25">
      <c r="B86" s="11"/>
      <c r="C86" s="64"/>
      <c r="D86" s="4"/>
      <c r="E86" s="43"/>
      <c r="F86" s="35"/>
      <c r="G86" s="35"/>
      <c r="H86" s="34"/>
      <c r="J86" s="76">
        <f t="shared" si="1"/>
        <v>192206</v>
      </c>
      <c r="K86" s="39"/>
    </row>
    <row r="87" spans="2:11" ht="20.100000000000001" customHeight="1" x14ac:dyDescent="0.25">
      <c r="B87" s="11"/>
      <c r="C87" s="64"/>
      <c r="D87" s="4"/>
      <c r="E87" s="43"/>
      <c r="F87" s="35"/>
      <c r="G87" s="35"/>
      <c r="H87" s="34"/>
      <c r="J87" s="76">
        <f t="shared" si="1"/>
        <v>192206</v>
      </c>
      <c r="K87" s="39"/>
    </row>
    <row r="88" spans="2:11" ht="20.100000000000001" customHeight="1" x14ac:dyDescent="0.25">
      <c r="B88" s="11"/>
      <c r="C88" s="64"/>
      <c r="D88" s="4"/>
      <c r="E88" s="43"/>
      <c r="F88" s="35"/>
      <c r="G88" s="35"/>
      <c r="H88" s="34"/>
      <c r="J88" s="76">
        <f t="shared" si="1"/>
        <v>192206</v>
      </c>
      <c r="K88" s="39"/>
    </row>
    <row r="89" spans="2:11" ht="20.100000000000001" customHeight="1" x14ac:dyDescent="0.25">
      <c r="B89" s="11"/>
      <c r="C89" s="64"/>
      <c r="D89" s="4"/>
      <c r="E89" s="43"/>
      <c r="F89" s="35"/>
      <c r="G89" s="35"/>
      <c r="H89" s="34"/>
      <c r="J89" s="76">
        <f t="shared" si="1"/>
        <v>192206</v>
      </c>
      <c r="K89" s="39"/>
    </row>
    <row r="90" spans="2:11" ht="20.100000000000001" customHeight="1" x14ac:dyDescent="0.25">
      <c r="B90" s="11"/>
      <c r="C90" s="64"/>
      <c r="D90" s="4"/>
      <c r="E90" s="43"/>
      <c r="F90" s="35"/>
      <c r="G90" s="35"/>
      <c r="H90" s="34"/>
      <c r="J90" s="76">
        <f t="shared" si="1"/>
        <v>192206</v>
      </c>
      <c r="K90" s="39"/>
    </row>
    <row r="91" spans="2:11" ht="20.100000000000001" customHeight="1" x14ac:dyDescent="0.25">
      <c r="B91" s="11"/>
      <c r="C91" s="64"/>
      <c r="D91" s="4"/>
      <c r="E91" s="43"/>
      <c r="F91" s="35"/>
      <c r="G91" s="35"/>
      <c r="H91" s="34"/>
      <c r="J91" s="76">
        <f t="shared" si="1"/>
        <v>192206</v>
      </c>
      <c r="K91" s="39"/>
    </row>
    <row r="92" spans="2:11" ht="20.100000000000001" customHeight="1" x14ac:dyDescent="0.25">
      <c r="B92" s="11"/>
      <c r="C92" s="64"/>
      <c r="D92" s="4"/>
      <c r="E92" s="43"/>
      <c r="F92" s="35"/>
      <c r="G92" s="35"/>
      <c r="H92" s="34"/>
      <c r="J92" s="76">
        <f t="shared" si="1"/>
        <v>192206</v>
      </c>
      <c r="K92" s="39"/>
    </row>
    <row r="93" spans="2:11" ht="20.100000000000001" customHeight="1" x14ac:dyDescent="0.25">
      <c r="B93" s="11"/>
      <c r="C93" s="64"/>
      <c r="D93" s="4"/>
      <c r="E93" s="43"/>
      <c r="F93" s="35"/>
      <c r="G93" s="35"/>
      <c r="H93" s="34"/>
      <c r="J93" s="76">
        <f t="shared" si="1"/>
        <v>192206</v>
      </c>
      <c r="K93" s="39"/>
    </row>
    <row r="94" spans="2:11" ht="20.100000000000001" customHeight="1" x14ac:dyDescent="0.25">
      <c r="B94" s="11"/>
      <c r="C94" s="64"/>
      <c r="D94" s="4"/>
      <c r="E94" s="43"/>
      <c r="F94" s="35"/>
      <c r="G94" s="35"/>
      <c r="H94" s="34"/>
      <c r="J94" s="76">
        <f t="shared" si="1"/>
        <v>192206</v>
      </c>
      <c r="K94" s="39"/>
    </row>
    <row r="95" spans="2:11" ht="20.100000000000001" customHeight="1" x14ac:dyDescent="0.25">
      <c r="B95" s="11"/>
      <c r="C95" s="64"/>
      <c r="D95" s="4"/>
      <c r="E95" s="43"/>
      <c r="F95" s="35"/>
      <c r="G95" s="35"/>
      <c r="H95" s="34"/>
      <c r="J95" s="76">
        <f t="shared" si="1"/>
        <v>192206</v>
      </c>
      <c r="K95" s="39"/>
    </row>
    <row r="96" spans="2:11" ht="20.100000000000001" customHeight="1" x14ac:dyDescent="0.25">
      <c r="B96" s="11"/>
      <c r="C96" s="64"/>
      <c r="D96" s="4"/>
      <c r="E96" s="43"/>
      <c r="F96" s="35"/>
      <c r="G96" s="35"/>
      <c r="H96" s="34"/>
      <c r="J96" s="76">
        <f t="shared" si="1"/>
        <v>192206</v>
      </c>
      <c r="K96" s="39"/>
    </row>
    <row r="97" spans="2:11" ht="20.100000000000001" customHeight="1" x14ac:dyDescent="0.25">
      <c r="B97" s="11"/>
      <c r="C97" s="64"/>
      <c r="D97" s="4"/>
      <c r="E97" s="43"/>
      <c r="F97" s="35"/>
      <c r="G97" s="35"/>
      <c r="H97" s="34"/>
      <c r="J97" s="76">
        <f t="shared" si="1"/>
        <v>192206</v>
      </c>
      <c r="K97" s="39"/>
    </row>
    <row r="98" spans="2:11" ht="20.100000000000001" customHeight="1" x14ac:dyDescent="0.25">
      <c r="B98" s="11"/>
      <c r="C98" s="64"/>
      <c r="D98" s="4"/>
      <c r="E98" s="43"/>
      <c r="F98" s="35"/>
      <c r="G98" s="35"/>
      <c r="H98" s="34"/>
      <c r="J98" s="76">
        <f t="shared" si="1"/>
        <v>192206</v>
      </c>
      <c r="K98" s="39"/>
    </row>
    <row r="99" spans="2:11" ht="20.100000000000001" customHeight="1" x14ac:dyDescent="0.25">
      <c r="B99" s="11"/>
      <c r="C99" s="64"/>
      <c r="D99" s="4"/>
      <c r="E99" s="43"/>
      <c r="F99" s="35"/>
      <c r="G99" s="35"/>
      <c r="H99" s="34"/>
      <c r="J99" s="76">
        <f t="shared" si="1"/>
        <v>192206</v>
      </c>
      <c r="K99" s="39"/>
    </row>
    <row r="100" spans="2:11" ht="20.100000000000001" customHeight="1" x14ac:dyDescent="0.25">
      <c r="B100" s="11"/>
      <c r="C100" s="64"/>
      <c r="D100" s="4"/>
      <c r="E100" s="43"/>
      <c r="F100" s="35"/>
      <c r="G100" s="35"/>
      <c r="H100" s="34"/>
      <c r="J100" s="76">
        <f t="shared" si="1"/>
        <v>192206</v>
      </c>
      <c r="K100" s="39"/>
    </row>
    <row r="101" spans="2:11" ht="20.100000000000001" customHeight="1" x14ac:dyDescent="0.25">
      <c r="B101" s="11"/>
      <c r="C101" s="64"/>
      <c r="D101" s="4"/>
      <c r="E101" s="43"/>
      <c r="F101" s="35"/>
      <c r="G101" s="35"/>
      <c r="H101" s="34"/>
      <c r="J101" s="76">
        <f t="shared" si="1"/>
        <v>192206</v>
      </c>
      <c r="K101" s="39"/>
    </row>
    <row r="102" spans="2:11" ht="20.100000000000001" customHeight="1" x14ac:dyDescent="0.25">
      <c r="B102" s="11"/>
      <c r="C102" s="64"/>
      <c r="D102" s="4"/>
      <c r="E102" s="43"/>
      <c r="F102" s="35"/>
      <c r="G102" s="35"/>
      <c r="H102" s="34"/>
      <c r="J102" s="76">
        <f t="shared" si="1"/>
        <v>192206</v>
      </c>
      <c r="K102" s="39"/>
    </row>
    <row r="103" spans="2:11" ht="20.100000000000001" customHeight="1" x14ac:dyDescent="0.25">
      <c r="B103" s="11"/>
      <c r="C103" s="64"/>
      <c r="D103" s="4"/>
      <c r="E103" s="43"/>
      <c r="F103" s="35"/>
      <c r="G103" s="35"/>
      <c r="H103" s="34"/>
      <c r="J103" s="76">
        <f t="shared" si="1"/>
        <v>192206</v>
      </c>
      <c r="K103" s="39"/>
    </row>
    <row r="104" spans="2:11" ht="20.100000000000001" customHeight="1" x14ac:dyDescent="0.25">
      <c r="B104" s="11"/>
      <c r="C104" s="64"/>
      <c r="D104" s="4"/>
      <c r="E104" s="43"/>
      <c r="F104" s="35"/>
      <c r="G104" s="35"/>
      <c r="H104" s="34"/>
      <c r="J104" s="76">
        <f t="shared" si="1"/>
        <v>192206</v>
      </c>
      <c r="K104" s="39"/>
    </row>
    <row r="105" spans="2:11" ht="20.100000000000001" customHeight="1" x14ac:dyDescent="0.25">
      <c r="B105" s="11"/>
      <c r="C105" s="64"/>
      <c r="D105" s="4"/>
      <c r="E105" s="43"/>
      <c r="F105" s="35"/>
      <c r="G105" s="35"/>
      <c r="H105" s="34"/>
      <c r="J105" s="76">
        <f t="shared" si="1"/>
        <v>192206</v>
      </c>
      <c r="K105" s="39"/>
    </row>
    <row r="106" spans="2:11" ht="20.100000000000001" customHeight="1" x14ac:dyDescent="0.25">
      <c r="B106" s="11"/>
      <c r="C106" s="64"/>
      <c r="D106" s="4"/>
      <c r="E106" s="43"/>
      <c r="F106" s="35"/>
      <c r="G106" s="35"/>
      <c r="H106" s="34"/>
      <c r="J106" s="76">
        <f t="shared" si="1"/>
        <v>192206</v>
      </c>
      <c r="K106" s="39"/>
    </row>
    <row r="107" spans="2:11" ht="20.100000000000001" customHeight="1" x14ac:dyDescent="0.25">
      <c r="B107" s="11"/>
      <c r="C107" s="64"/>
      <c r="D107" s="4"/>
      <c r="E107" s="43"/>
      <c r="F107" s="35"/>
      <c r="G107" s="35"/>
      <c r="H107" s="34"/>
      <c r="J107" s="76">
        <f t="shared" si="1"/>
        <v>192206</v>
      </c>
      <c r="K107" s="39"/>
    </row>
    <row r="108" spans="2:11" ht="20.100000000000001" customHeight="1" x14ac:dyDescent="0.25">
      <c r="B108" s="11"/>
      <c r="C108" s="64"/>
      <c r="D108" s="4"/>
      <c r="E108" s="43"/>
      <c r="F108" s="35"/>
      <c r="G108" s="35"/>
      <c r="H108" s="34"/>
      <c r="J108" s="76">
        <f t="shared" si="1"/>
        <v>192206</v>
      </c>
      <c r="K108" s="39"/>
    </row>
    <row r="109" spans="2:11" ht="20.100000000000001" customHeight="1" x14ac:dyDescent="0.25">
      <c r="B109" s="11"/>
      <c r="C109" s="64"/>
      <c r="D109" s="4"/>
      <c r="E109" s="43"/>
      <c r="F109" s="35"/>
      <c r="G109" s="35"/>
      <c r="H109" s="34"/>
      <c r="J109" s="76">
        <f t="shared" si="1"/>
        <v>192206</v>
      </c>
      <c r="K109" s="39"/>
    </row>
    <row r="110" spans="2:11" ht="20.100000000000001" customHeight="1" x14ac:dyDescent="0.25">
      <c r="B110" s="11"/>
      <c r="C110" s="64"/>
      <c r="D110" s="4"/>
      <c r="E110" s="43"/>
      <c r="F110" s="35"/>
      <c r="G110" s="35"/>
      <c r="H110" s="34"/>
      <c r="J110" s="76">
        <f t="shared" si="1"/>
        <v>192206</v>
      </c>
      <c r="K110" s="39"/>
    </row>
    <row r="111" spans="2:11" ht="20.100000000000001" customHeight="1" x14ac:dyDescent="0.25">
      <c r="B111" s="11"/>
      <c r="C111" s="64"/>
      <c r="D111" s="4"/>
      <c r="E111" s="43"/>
      <c r="F111" s="35"/>
      <c r="G111" s="35"/>
      <c r="H111" s="34"/>
      <c r="J111" s="76">
        <f t="shared" si="1"/>
        <v>192206</v>
      </c>
      <c r="K111" s="39"/>
    </row>
    <row r="112" spans="2:11" ht="20.100000000000001" customHeight="1" x14ac:dyDescent="0.25">
      <c r="B112" s="11"/>
      <c r="C112" s="64"/>
      <c r="D112" s="4"/>
      <c r="E112" s="43"/>
      <c r="F112" s="35"/>
      <c r="G112" s="35"/>
      <c r="H112" s="34"/>
      <c r="J112" s="76">
        <f t="shared" si="1"/>
        <v>192206</v>
      </c>
      <c r="K112" s="39"/>
    </row>
    <row r="113" spans="2:11" ht="20.100000000000001" customHeight="1" x14ac:dyDescent="0.25">
      <c r="B113" s="11"/>
      <c r="C113" s="64"/>
      <c r="D113" s="4"/>
      <c r="E113" s="43"/>
      <c r="F113" s="35"/>
      <c r="G113" s="35"/>
      <c r="H113" s="34"/>
      <c r="J113" s="76">
        <f t="shared" si="1"/>
        <v>192206</v>
      </c>
      <c r="K113" s="39"/>
    </row>
    <row r="114" spans="2:11" ht="20.100000000000001" customHeight="1" x14ac:dyDescent="0.25">
      <c r="B114" s="11"/>
      <c r="C114" s="66"/>
      <c r="D114" s="4"/>
      <c r="E114" s="43"/>
      <c r="F114" s="35"/>
      <c r="G114" s="35"/>
      <c r="H114" s="34"/>
      <c r="J114" s="76">
        <f t="shared" si="1"/>
        <v>192206</v>
      </c>
      <c r="K114" s="39"/>
    </row>
    <row r="115" spans="2:11" ht="20.100000000000001" customHeight="1" x14ac:dyDescent="0.25">
      <c r="B115" s="11"/>
      <c r="C115" s="66"/>
      <c r="D115" s="4"/>
      <c r="E115" s="43"/>
      <c r="F115" s="35"/>
      <c r="G115" s="35"/>
      <c r="H115" s="34"/>
      <c r="J115" s="76">
        <f t="shared" si="1"/>
        <v>192206</v>
      </c>
      <c r="K115" s="39"/>
    </row>
    <row r="116" spans="2:11" ht="20.100000000000001" customHeight="1" x14ac:dyDescent="0.25">
      <c r="B116" s="11"/>
      <c r="C116" s="66"/>
      <c r="D116" s="4"/>
      <c r="E116" s="43"/>
      <c r="F116" s="35"/>
      <c r="G116" s="35"/>
      <c r="H116" s="34"/>
      <c r="J116" s="76">
        <f t="shared" si="1"/>
        <v>192206</v>
      </c>
      <c r="K116" s="39"/>
    </row>
    <row r="117" spans="2:11" ht="20.100000000000001" customHeight="1" x14ac:dyDescent="0.25">
      <c r="B117" s="11"/>
      <c r="C117" s="66"/>
      <c r="D117" s="4"/>
      <c r="E117" s="43"/>
      <c r="F117" s="35"/>
      <c r="G117" s="35"/>
      <c r="H117" s="34"/>
      <c r="J117" s="76">
        <f t="shared" si="1"/>
        <v>192206</v>
      </c>
      <c r="K117" s="39"/>
    </row>
    <row r="118" spans="2:11" ht="20.100000000000001" customHeight="1" x14ac:dyDescent="0.25">
      <c r="B118" s="11"/>
      <c r="C118" s="66"/>
      <c r="D118" s="4"/>
      <c r="E118" s="43"/>
      <c r="F118" s="35"/>
      <c r="G118" s="35"/>
      <c r="H118" s="34"/>
      <c r="J118" s="76">
        <f t="shared" si="1"/>
        <v>192206</v>
      </c>
      <c r="K118" s="39"/>
    </row>
    <row r="119" spans="2:11" ht="20.100000000000001" customHeight="1" x14ac:dyDescent="0.25">
      <c r="B119" s="11"/>
      <c r="C119" s="66"/>
      <c r="D119" s="4"/>
      <c r="E119" s="43"/>
      <c r="F119" s="35"/>
      <c r="G119" s="35"/>
      <c r="H119" s="34"/>
      <c r="J119" s="76">
        <f t="shared" si="1"/>
        <v>192206</v>
      </c>
      <c r="K119" s="39"/>
    </row>
    <row r="120" spans="2:11" ht="20.100000000000001" customHeight="1" x14ac:dyDescent="0.25">
      <c r="B120" s="11"/>
      <c r="C120" s="66"/>
      <c r="D120" s="4"/>
      <c r="E120" s="43"/>
      <c r="F120" s="35"/>
      <c r="G120" s="35"/>
      <c r="H120" s="34"/>
      <c r="J120" s="76">
        <f t="shared" si="1"/>
        <v>192206</v>
      </c>
      <c r="K120" s="39"/>
    </row>
    <row r="121" spans="2:11" ht="20.100000000000001" customHeight="1" x14ac:dyDescent="0.25">
      <c r="B121" s="11"/>
      <c r="C121" s="66"/>
      <c r="D121" s="4"/>
      <c r="E121" s="43"/>
      <c r="F121" s="35"/>
      <c r="G121" s="35"/>
      <c r="H121" s="34"/>
      <c r="J121" s="76">
        <f t="shared" si="1"/>
        <v>192206</v>
      </c>
      <c r="K121" s="39"/>
    </row>
    <row r="122" spans="2:11" ht="20.100000000000001" customHeight="1" x14ac:dyDescent="0.25">
      <c r="B122" s="11"/>
      <c r="C122" s="66"/>
      <c r="D122" s="4"/>
      <c r="E122" s="43"/>
      <c r="F122" s="35"/>
      <c r="G122" s="35"/>
      <c r="H122" s="34"/>
      <c r="J122" s="76">
        <f t="shared" si="1"/>
        <v>192206</v>
      </c>
      <c r="K122" s="39"/>
    </row>
    <row r="123" spans="2:11" ht="20.100000000000001" customHeight="1" x14ac:dyDescent="0.25">
      <c r="B123" s="11"/>
      <c r="C123" s="66"/>
      <c r="D123" s="4"/>
      <c r="E123" s="43"/>
      <c r="F123" s="35"/>
      <c r="G123" s="35"/>
      <c r="H123" s="34"/>
      <c r="J123" s="76">
        <f t="shared" si="1"/>
        <v>192206</v>
      </c>
      <c r="K123" s="39"/>
    </row>
    <row r="124" spans="2:11" ht="20.100000000000001" customHeight="1" x14ac:dyDescent="0.25">
      <c r="B124" s="11"/>
      <c r="C124" s="66"/>
      <c r="D124" s="4"/>
      <c r="E124" s="43"/>
      <c r="F124" s="35"/>
      <c r="G124" s="35"/>
      <c r="H124" s="34"/>
      <c r="J124" s="76">
        <f t="shared" si="1"/>
        <v>192206</v>
      </c>
      <c r="K124" s="39"/>
    </row>
    <row r="125" spans="2:11" ht="20.100000000000001" customHeight="1" x14ac:dyDescent="0.25">
      <c r="B125" s="11"/>
      <c r="C125" s="66"/>
      <c r="D125" s="4"/>
      <c r="E125" s="43"/>
      <c r="F125" s="35"/>
      <c r="G125" s="35"/>
      <c r="H125" s="34"/>
      <c r="J125" s="76">
        <f t="shared" si="1"/>
        <v>192206</v>
      </c>
      <c r="K125" s="39"/>
    </row>
    <row r="126" spans="2:11" ht="20.100000000000001" customHeight="1" x14ac:dyDescent="0.25">
      <c r="B126" s="11"/>
      <c r="C126" s="66"/>
      <c r="D126" s="4"/>
      <c r="E126" s="43"/>
      <c r="F126" s="35"/>
      <c r="G126" s="35"/>
      <c r="H126" s="34"/>
      <c r="J126" s="76">
        <f t="shared" si="1"/>
        <v>192206</v>
      </c>
      <c r="K126" s="39"/>
    </row>
    <row r="127" spans="2:11" ht="20.100000000000001" customHeight="1" x14ac:dyDescent="0.25">
      <c r="B127" s="11"/>
      <c r="C127" s="66"/>
      <c r="D127" s="4"/>
      <c r="E127" s="43"/>
      <c r="F127" s="35"/>
      <c r="G127" s="35"/>
      <c r="H127" s="34"/>
      <c r="J127" s="76">
        <f t="shared" si="1"/>
        <v>192206</v>
      </c>
      <c r="K127" s="39"/>
    </row>
    <row r="128" spans="2:11" ht="20.100000000000001" customHeight="1" x14ac:dyDescent="0.25">
      <c r="B128" s="11"/>
      <c r="C128" s="66"/>
      <c r="D128" s="4"/>
      <c r="E128" s="43"/>
      <c r="F128" s="35"/>
      <c r="G128" s="35"/>
      <c r="H128" s="34"/>
      <c r="J128" s="76">
        <f t="shared" si="1"/>
        <v>192206</v>
      </c>
      <c r="K128" s="39"/>
    </row>
    <row r="129" spans="2:11" ht="20.100000000000001" customHeight="1" x14ac:dyDescent="0.25">
      <c r="B129" s="11"/>
      <c r="C129" s="66"/>
      <c r="D129" s="4"/>
      <c r="E129" s="43"/>
      <c r="F129" s="35"/>
      <c r="G129" s="35"/>
      <c r="H129" s="34"/>
      <c r="J129" s="76">
        <f t="shared" si="1"/>
        <v>192206</v>
      </c>
      <c r="K129" s="39"/>
    </row>
    <row r="130" spans="2:11" ht="20.100000000000001" customHeight="1" x14ac:dyDescent="0.25">
      <c r="B130" s="11"/>
      <c r="C130" s="66"/>
      <c r="D130" s="4"/>
      <c r="E130" s="43"/>
      <c r="F130" s="35"/>
      <c r="G130" s="35"/>
      <c r="H130" s="34"/>
      <c r="J130" s="76">
        <f t="shared" si="1"/>
        <v>192206</v>
      </c>
      <c r="K130" s="39"/>
    </row>
    <row r="131" spans="2:11" ht="20.100000000000001" customHeight="1" x14ac:dyDescent="0.25">
      <c r="B131" s="11"/>
      <c r="C131" s="66"/>
      <c r="D131" s="4"/>
      <c r="E131" s="43"/>
      <c r="F131" s="35"/>
      <c r="G131" s="35"/>
      <c r="H131" s="34"/>
      <c r="J131" s="76">
        <f t="shared" si="1"/>
        <v>192206</v>
      </c>
      <c r="K131" s="39"/>
    </row>
    <row r="132" spans="2:11" ht="20.100000000000001" customHeight="1" x14ac:dyDescent="0.25">
      <c r="B132" s="11"/>
      <c r="C132" s="66"/>
      <c r="D132" s="4"/>
      <c r="E132" s="43"/>
      <c r="F132" s="35"/>
      <c r="G132" s="35"/>
      <c r="H132" s="34"/>
      <c r="J132" s="76">
        <f t="shared" si="1"/>
        <v>192206</v>
      </c>
      <c r="K132" s="39"/>
    </row>
    <row r="133" spans="2:11" ht="20.100000000000001" customHeight="1" x14ac:dyDescent="0.25">
      <c r="B133" s="11"/>
      <c r="C133" s="66"/>
      <c r="D133" s="4"/>
      <c r="E133" s="43"/>
      <c r="F133" s="35"/>
      <c r="G133" s="35"/>
      <c r="H133" s="34"/>
      <c r="J133" s="76">
        <f t="shared" si="1"/>
        <v>192206</v>
      </c>
      <c r="K133" s="39"/>
    </row>
    <row r="134" spans="2:11" ht="20.100000000000001" customHeight="1" x14ac:dyDescent="0.25">
      <c r="B134" s="11"/>
      <c r="C134" s="66"/>
      <c r="D134" s="4"/>
      <c r="E134" s="43"/>
      <c r="F134" s="35"/>
      <c r="G134" s="35"/>
      <c r="H134" s="34"/>
      <c r="J134" s="76">
        <f t="shared" si="1"/>
        <v>192206</v>
      </c>
      <c r="K134" s="39"/>
    </row>
    <row r="135" spans="2:11" ht="20.100000000000001" customHeight="1" x14ac:dyDescent="0.25">
      <c r="B135" s="11"/>
      <c r="C135" s="66"/>
      <c r="D135" s="4"/>
      <c r="E135" s="43"/>
      <c r="F135" s="35"/>
      <c r="G135" s="35"/>
      <c r="H135" s="34"/>
      <c r="J135" s="76">
        <f t="shared" si="1"/>
        <v>192206</v>
      </c>
      <c r="K135" s="39"/>
    </row>
    <row r="136" spans="2:11" ht="20.100000000000001" customHeight="1" x14ac:dyDescent="0.25">
      <c r="B136" s="11"/>
      <c r="C136" s="66"/>
      <c r="D136" s="4"/>
      <c r="E136" s="43"/>
      <c r="F136" s="35"/>
      <c r="G136" s="35"/>
      <c r="H136" s="34"/>
      <c r="J136" s="76">
        <f t="shared" ref="J136:J199" si="2">J135+F136-G136</f>
        <v>192206</v>
      </c>
      <c r="K136" s="39"/>
    </row>
    <row r="137" spans="2:11" ht="20.100000000000001" customHeight="1" x14ac:dyDescent="0.25">
      <c r="B137" s="11"/>
      <c r="C137" s="66"/>
      <c r="D137" s="4"/>
      <c r="E137" s="43"/>
      <c r="F137" s="35"/>
      <c r="G137" s="35"/>
      <c r="H137" s="34"/>
      <c r="J137" s="76">
        <f t="shared" si="2"/>
        <v>192206</v>
      </c>
      <c r="K137" s="39"/>
    </row>
    <row r="138" spans="2:11" ht="20.100000000000001" customHeight="1" x14ac:dyDescent="0.25">
      <c r="B138" s="11"/>
      <c r="C138" s="66"/>
      <c r="D138" s="4"/>
      <c r="E138" s="43"/>
      <c r="F138" s="35"/>
      <c r="G138" s="35"/>
      <c r="H138" s="34"/>
      <c r="J138" s="76">
        <f t="shared" si="2"/>
        <v>192206</v>
      </c>
      <c r="K138" s="39"/>
    </row>
    <row r="139" spans="2:11" ht="20.100000000000001" customHeight="1" x14ac:dyDescent="0.25">
      <c r="B139" s="11"/>
      <c r="C139" s="66"/>
      <c r="D139" s="4"/>
      <c r="E139" s="43"/>
      <c r="F139" s="35"/>
      <c r="G139" s="35"/>
      <c r="H139" s="34"/>
      <c r="J139" s="76">
        <f t="shared" si="2"/>
        <v>192206</v>
      </c>
      <c r="K139" s="39"/>
    </row>
    <row r="140" spans="2:11" ht="20.100000000000001" customHeight="1" x14ac:dyDescent="0.25">
      <c r="B140" s="11"/>
      <c r="C140" s="66"/>
      <c r="D140" s="4"/>
      <c r="E140" s="43"/>
      <c r="F140" s="35"/>
      <c r="G140" s="35"/>
      <c r="H140" s="34"/>
      <c r="J140" s="76">
        <f t="shared" si="2"/>
        <v>192206</v>
      </c>
      <c r="K140" s="39"/>
    </row>
    <row r="141" spans="2:11" ht="20.100000000000001" customHeight="1" x14ac:dyDescent="0.25">
      <c r="B141" s="11"/>
      <c r="C141" s="66"/>
      <c r="D141" s="4"/>
      <c r="E141" s="43"/>
      <c r="F141" s="35"/>
      <c r="G141" s="35"/>
      <c r="H141" s="34"/>
      <c r="J141" s="76">
        <f t="shared" si="2"/>
        <v>192206</v>
      </c>
      <c r="K141" s="39"/>
    </row>
    <row r="142" spans="2:11" ht="20.100000000000001" customHeight="1" x14ac:dyDescent="0.25">
      <c r="B142" s="11"/>
      <c r="C142" s="66"/>
      <c r="D142" s="4"/>
      <c r="E142" s="43"/>
      <c r="F142" s="35"/>
      <c r="G142" s="35"/>
      <c r="H142" s="34"/>
      <c r="J142" s="76">
        <f t="shared" si="2"/>
        <v>192206</v>
      </c>
      <c r="K142" s="39"/>
    </row>
    <row r="143" spans="2:11" ht="20.100000000000001" customHeight="1" x14ac:dyDescent="0.25">
      <c r="B143" s="11"/>
      <c r="C143" s="66"/>
      <c r="D143" s="4"/>
      <c r="E143" s="43"/>
      <c r="F143" s="35"/>
      <c r="G143" s="35"/>
      <c r="H143" s="34"/>
      <c r="J143" s="76">
        <f t="shared" si="2"/>
        <v>192206</v>
      </c>
      <c r="K143" s="39"/>
    </row>
    <row r="144" spans="2:11" ht="20.100000000000001" customHeight="1" x14ac:dyDescent="0.25">
      <c r="B144" s="11"/>
      <c r="C144" s="66"/>
      <c r="D144" s="4"/>
      <c r="E144" s="43"/>
      <c r="F144" s="35"/>
      <c r="G144" s="35"/>
      <c r="H144" s="34"/>
      <c r="J144" s="76">
        <f t="shared" si="2"/>
        <v>192206</v>
      </c>
      <c r="K144" s="39"/>
    </row>
    <row r="145" spans="2:11" ht="20.100000000000001" customHeight="1" x14ac:dyDescent="0.25">
      <c r="B145" s="11"/>
      <c r="C145" s="66"/>
      <c r="D145" s="4"/>
      <c r="E145" s="43"/>
      <c r="F145" s="35"/>
      <c r="G145" s="35"/>
      <c r="H145" s="34"/>
      <c r="J145" s="76">
        <f t="shared" si="2"/>
        <v>192206</v>
      </c>
      <c r="K145" s="39"/>
    </row>
    <row r="146" spans="2:11" ht="20.100000000000001" customHeight="1" x14ac:dyDescent="0.25">
      <c r="B146" s="11"/>
      <c r="C146" s="66"/>
      <c r="D146" s="4"/>
      <c r="E146" s="43"/>
      <c r="F146" s="35"/>
      <c r="G146" s="35"/>
      <c r="H146" s="34"/>
      <c r="J146" s="76">
        <f t="shared" si="2"/>
        <v>192206</v>
      </c>
      <c r="K146" s="39"/>
    </row>
    <row r="147" spans="2:11" ht="20.100000000000001" customHeight="1" x14ac:dyDescent="0.25">
      <c r="B147" s="11"/>
      <c r="C147" s="66"/>
      <c r="D147" s="4"/>
      <c r="E147" s="43"/>
      <c r="F147" s="35"/>
      <c r="G147" s="35"/>
      <c r="H147" s="34"/>
      <c r="J147" s="76">
        <f t="shared" si="2"/>
        <v>192206</v>
      </c>
      <c r="K147" s="39"/>
    </row>
    <row r="148" spans="2:11" ht="20.100000000000001" customHeight="1" x14ac:dyDescent="0.25">
      <c r="B148" s="11"/>
      <c r="C148" s="66"/>
      <c r="D148" s="4"/>
      <c r="E148" s="43"/>
      <c r="F148" s="35"/>
      <c r="G148" s="35"/>
      <c r="H148" s="34"/>
      <c r="J148" s="76">
        <f t="shared" si="2"/>
        <v>192206</v>
      </c>
      <c r="K148" s="39"/>
    </row>
    <row r="149" spans="2:11" ht="20.100000000000001" customHeight="1" x14ac:dyDescent="0.25">
      <c r="B149" s="11"/>
      <c r="C149" s="66"/>
      <c r="D149" s="4"/>
      <c r="E149" s="43"/>
      <c r="F149" s="35"/>
      <c r="G149" s="35"/>
      <c r="H149" s="34"/>
      <c r="J149" s="76">
        <f t="shared" si="2"/>
        <v>192206</v>
      </c>
      <c r="K149" s="39"/>
    </row>
    <row r="150" spans="2:11" ht="20.100000000000001" customHeight="1" x14ac:dyDescent="0.25">
      <c r="B150" s="11"/>
      <c r="C150" s="66"/>
      <c r="D150" s="4"/>
      <c r="E150" s="43"/>
      <c r="F150" s="35"/>
      <c r="G150" s="35"/>
      <c r="H150" s="34"/>
      <c r="J150" s="76">
        <f t="shared" si="2"/>
        <v>192206</v>
      </c>
      <c r="K150" s="39"/>
    </row>
    <row r="151" spans="2:11" ht="20.100000000000001" customHeight="1" x14ac:dyDescent="0.25">
      <c r="B151" s="11"/>
      <c r="C151" s="66"/>
      <c r="D151" s="4"/>
      <c r="E151" s="43"/>
      <c r="F151" s="35"/>
      <c r="G151" s="35"/>
      <c r="H151" s="34"/>
      <c r="J151" s="76">
        <f t="shared" si="2"/>
        <v>192206</v>
      </c>
      <c r="K151" s="39"/>
    </row>
    <row r="152" spans="2:11" ht="20.100000000000001" customHeight="1" x14ac:dyDescent="0.25">
      <c r="B152" s="11"/>
      <c r="C152" s="66"/>
      <c r="D152" s="4"/>
      <c r="E152" s="43"/>
      <c r="F152" s="35"/>
      <c r="G152" s="35"/>
      <c r="H152" s="34"/>
      <c r="J152" s="76">
        <f t="shared" si="2"/>
        <v>192206</v>
      </c>
      <c r="K152" s="39"/>
    </row>
    <row r="153" spans="2:11" ht="20.100000000000001" customHeight="1" x14ac:dyDescent="0.25">
      <c r="B153" s="11"/>
      <c r="C153" s="66"/>
      <c r="D153" s="4"/>
      <c r="E153" s="43"/>
      <c r="F153" s="35"/>
      <c r="G153" s="35"/>
      <c r="H153" s="34"/>
      <c r="J153" s="76">
        <f t="shared" si="2"/>
        <v>192206</v>
      </c>
      <c r="K153" s="39"/>
    </row>
    <row r="154" spans="2:11" ht="20.100000000000001" customHeight="1" x14ac:dyDescent="0.25">
      <c r="B154" s="11"/>
      <c r="C154" s="66"/>
      <c r="D154" s="4"/>
      <c r="E154" s="43"/>
      <c r="F154" s="35"/>
      <c r="G154" s="35"/>
      <c r="H154" s="34"/>
      <c r="J154" s="76">
        <f t="shared" si="2"/>
        <v>192206</v>
      </c>
      <c r="K154" s="39"/>
    </row>
    <row r="155" spans="2:11" ht="20.100000000000001" customHeight="1" x14ac:dyDescent="0.25">
      <c r="B155" s="11"/>
      <c r="C155" s="66"/>
      <c r="D155" s="4"/>
      <c r="E155" s="43"/>
      <c r="F155" s="35"/>
      <c r="G155" s="35"/>
      <c r="H155" s="34"/>
      <c r="J155" s="76">
        <f t="shared" si="2"/>
        <v>192206</v>
      </c>
      <c r="K155" s="39"/>
    </row>
    <row r="156" spans="2:11" ht="20.100000000000001" customHeight="1" x14ac:dyDescent="0.25">
      <c r="B156" s="11"/>
      <c r="C156" s="66"/>
      <c r="D156" s="4"/>
      <c r="E156" s="43"/>
      <c r="F156" s="35"/>
      <c r="G156" s="35"/>
      <c r="H156" s="34"/>
      <c r="J156" s="76">
        <f t="shared" si="2"/>
        <v>192206</v>
      </c>
      <c r="K156" s="39"/>
    </row>
    <row r="157" spans="2:11" ht="20.100000000000001" customHeight="1" x14ac:dyDescent="0.25">
      <c r="B157" s="11"/>
      <c r="C157" s="66"/>
      <c r="D157" s="4"/>
      <c r="E157" s="43"/>
      <c r="F157" s="35"/>
      <c r="G157" s="35"/>
      <c r="H157" s="34"/>
      <c r="J157" s="76">
        <f t="shared" si="2"/>
        <v>192206</v>
      </c>
      <c r="K157" s="39"/>
    </row>
    <row r="158" spans="2:11" ht="20.100000000000001" customHeight="1" x14ac:dyDescent="0.25">
      <c r="B158" s="11"/>
      <c r="C158" s="66"/>
      <c r="D158" s="4"/>
      <c r="E158" s="43"/>
      <c r="F158" s="35"/>
      <c r="G158" s="35"/>
      <c r="H158" s="34"/>
      <c r="J158" s="76">
        <f t="shared" si="2"/>
        <v>192206</v>
      </c>
      <c r="K158" s="39"/>
    </row>
    <row r="159" spans="2:11" ht="20.100000000000001" customHeight="1" x14ac:dyDescent="0.25">
      <c r="B159" s="11"/>
      <c r="C159" s="66"/>
      <c r="D159" s="4"/>
      <c r="E159" s="43"/>
      <c r="F159" s="35"/>
      <c r="G159" s="35"/>
      <c r="H159" s="34"/>
      <c r="J159" s="76">
        <f t="shared" si="2"/>
        <v>192206</v>
      </c>
      <c r="K159" s="39"/>
    </row>
    <row r="160" spans="2:11" ht="20.100000000000001" customHeight="1" x14ac:dyDescent="0.25">
      <c r="B160" s="11"/>
      <c r="C160" s="66"/>
      <c r="D160" s="4"/>
      <c r="E160" s="43"/>
      <c r="F160" s="35"/>
      <c r="G160" s="35"/>
      <c r="H160" s="34"/>
      <c r="J160" s="76">
        <f t="shared" si="2"/>
        <v>192206</v>
      </c>
      <c r="K160" s="39"/>
    </row>
    <row r="161" spans="2:11" ht="20.100000000000001" customHeight="1" x14ac:dyDescent="0.25">
      <c r="B161" s="11"/>
      <c r="C161" s="66"/>
      <c r="D161" s="4"/>
      <c r="E161" s="43"/>
      <c r="F161" s="35"/>
      <c r="G161" s="35"/>
      <c r="H161" s="34"/>
      <c r="J161" s="76">
        <f t="shared" si="2"/>
        <v>192206</v>
      </c>
      <c r="K161" s="39"/>
    </row>
    <row r="162" spans="2:11" ht="20.100000000000001" customHeight="1" x14ac:dyDescent="0.25">
      <c r="B162" s="11"/>
      <c r="C162" s="66"/>
      <c r="D162" s="4"/>
      <c r="E162" s="43"/>
      <c r="F162" s="35"/>
      <c r="G162" s="35"/>
      <c r="H162" s="34"/>
      <c r="J162" s="76">
        <f t="shared" si="2"/>
        <v>192206</v>
      </c>
      <c r="K162" s="39"/>
    </row>
    <row r="163" spans="2:11" ht="20.100000000000001" customHeight="1" x14ac:dyDescent="0.25">
      <c r="B163" s="11"/>
      <c r="C163" s="66"/>
      <c r="D163" s="4"/>
      <c r="E163" s="43"/>
      <c r="F163" s="35"/>
      <c r="G163" s="35"/>
      <c r="H163" s="34"/>
      <c r="J163" s="76">
        <f t="shared" si="2"/>
        <v>192206</v>
      </c>
      <c r="K163" s="39"/>
    </row>
    <row r="164" spans="2:11" ht="20.100000000000001" customHeight="1" x14ac:dyDescent="0.25">
      <c r="B164" s="11"/>
      <c r="C164" s="66"/>
      <c r="D164" s="4"/>
      <c r="E164" s="43"/>
      <c r="F164" s="35"/>
      <c r="G164" s="35"/>
      <c r="H164" s="34"/>
      <c r="J164" s="76">
        <f t="shared" si="2"/>
        <v>192206</v>
      </c>
      <c r="K164" s="39"/>
    </row>
    <row r="165" spans="2:11" ht="20.100000000000001" customHeight="1" x14ac:dyDescent="0.25">
      <c r="B165" s="11"/>
      <c r="C165" s="66"/>
      <c r="D165" s="4"/>
      <c r="E165" s="43"/>
      <c r="F165" s="35"/>
      <c r="G165" s="35"/>
      <c r="H165" s="34"/>
      <c r="J165" s="76">
        <f t="shared" si="2"/>
        <v>192206</v>
      </c>
      <c r="K165" s="39"/>
    </row>
    <row r="166" spans="2:11" ht="20.100000000000001" customHeight="1" x14ac:dyDescent="0.25">
      <c r="B166" s="11"/>
      <c r="C166" s="66"/>
      <c r="D166" s="4"/>
      <c r="E166" s="43"/>
      <c r="F166" s="35"/>
      <c r="G166" s="35"/>
      <c r="H166" s="34"/>
      <c r="J166" s="76">
        <f t="shared" si="2"/>
        <v>192206</v>
      </c>
      <c r="K166" s="39"/>
    </row>
    <row r="167" spans="2:11" ht="20.100000000000001" customHeight="1" x14ac:dyDescent="0.25">
      <c r="B167" s="11"/>
      <c r="C167" s="66"/>
      <c r="D167" s="4"/>
      <c r="E167" s="43"/>
      <c r="F167" s="35"/>
      <c r="G167" s="35"/>
      <c r="H167" s="34"/>
      <c r="J167" s="76">
        <f t="shared" si="2"/>
        <v>192206</v>
      </c>
      <c r="K167" s="39"/>
    </row>
    <row r="168" spans="2:11" ht="20.100000000000001" customHeight="1" x14ac:dyDescent="0.25">
      <c r="B168" s="11"/>
      <c r="C168" s="66"/>
      <c r="D168" s="4"/>
      <c r="E168" s="43"/>
      <c r="F168" s="35"/>
      <c r="G168" s="35"/>
      <c r="H168" s="34"/>
      <c r="J168" s="76">
        <f t="shared" si="2"/>
        <v>192206</v>
      </c>
      <c r="K168" s="39"/>
    </row>
    <row r="169" spans="2:11" ht="20.100000000000001" customHeight="1" x14ac:dyDescent="0.25">
      <c r="B169" s="11"/>
      <c r="C169" s="66"/>
      <c r="D169" s="4"/>
      <c r="E169" s="43"/>
      <c r="F169" s="35"/>
      <c r="G169" s="35"/>
      <c r="H169" s="34"/>
      <c r="J169" s="76">
        <f t="shared" si="2"/>
        <v>192206</v>
      </c>
      <c r="K169" s="39"/>
    </row>
    <row r="170" spans="2:11" ht="20.100000000000001" customHeight="1" x14ac:dyDescent="0.25">
      <c r="B170" s="11"/>
      <c r="C170" s="66"/>
      <c r="D170" s="4"/>
      <c r="E170" s="43"/>
      <c r="F170" s="35"/>
      <c r="G170" s="35"/>
      <c r="H170" s="34"/>
      <c r="J170" s="76">
        <f t="shared" si="2"/>
        <v>192206</v>
      </c>
      <c r="K170" s="39"/>
    </row>
    <row r="171" spans="2:11" ht="20.100000000000001" customHeight="1" x14ac:dyDescent="0.25">
      <c r="B171" s="11"/>
      <c r="C171" s="66"/>
      <c r="D171" s="4"/>
      <c r="E171" s="43"/>
      <c r="F171" s="35"/>
      <c r="G171" s="35"/>
      <c r="H171" s="34"/>
      <c r="J171" s="76">
        <f t="shared" si="2"/>
        <v>192206</v>
      </c>
      <c r="K171" s="39"/>
    </row>
    <row r="172" spans="2:11" ht="20.100000000000001" customHeight="1" x14ac:dyDescent="0.25">
      <c r="B172" s="11"/>
      <c r="C172" s="66"/>
      <c r="D172" s="4"/>
      <c r="E172" s="43"/>
      <c r="F172" s="35"/>
      <c r="G172" s="35"/>
      <c r="H172" s="34"/>
      <c r="J172" s="76">
        <f t="shared" si="2"/>
        <v>192206</v>
      </c>
      <c r="K172" s="39"/>
    </row>
    <row r="173" spans="2:11" ht="20.100000000000001" customHeight="1" x14ac:dyDescent="0.25">
      <c r="B173" s="11"/>
      <c r="C173" s="66"/>
      <c r="D173" s="4"/>
      <c r="E173" s="43"/>
      <c r="F173" s="35"/>
      <c r="G173" s="35"/>
      <c r="H173" s="34"/>
      <c r="J173" s="76">
        <f t="shared" si="2"/>
        <v>192206</v>
      </c>
      <c r="K173" s="39"/>
    </row>
    <row r="174" spans="2:11" ht="20.100000000000001" customHeight="1" x14ac:dyDescent="0.25">
      <c r="B174" s="11"/>
      <c r="C174" s="66"/>
      <c r="D174" s="4"/>
      <c r="E174" s="43"/>
      <c r="F174" s="35"/>
      <c r="G174" s="35"/>
      <c r="H174" s="34"/>
      <c r="J174" s="76">
        <f t="shared" si="2"/>
        <v>192206</v>
      </c>
      <c r="K174" s="39"/>
    </row>
    <row r="175" spans="2:11" ht="20.100000000000001" customHeight="1" x14ac:dyDescent="0.25">
      <c r="B175" s="11"/>
      <c r="C175" s="66"/>
      <c r="D175" s="4"/>
      <c r="E175" s="43"/>
      <c r="F175" s="35"/>
      <c r="G175" s="35"/>
      <c r="H175" s="34"/>
      <c r="J175" s="76">
        <f t="shared" si="2"/>
        <v>192206</v>
      </c>
      <c r="K175" s="39"/>
    </row>
    <row r="176" spans="2:11" ht="20.100000000000001" customHeight="1" x14ac:dyDescent="0.25">
      <c r="B176" s="11"/>
      <c r="C176" s="66"/>
      <c r="D176" s="4"/>
      <c r="E176" s="43"/>
      <c r="F176" s="35"/>
      <c r="G176" s="35"/>
      <c r="H176" s="34"/>
      <c r="J176" s="76">
        <f t="shared" si="2"/>
        <v>192206</v>
      </c>
      <c r="K176" s="39"/>
    </row>
    <row r="177" spans="2:11" ht="20.100000000000001" customHeight="1" x14ac:dyDescent="0.25">
      <c r="B177" s="11"/>
      <c r="C177" s="66"/>
      <c r="D177" s="4"/>
      <c r="E177" s="43"/>
      <c r="F177" s="35"/>
      <c r="G177" s="35"/>
      <c r="H177" s="34"/>
      <c r="J177" s="76">
        <f t="shared" si="2"/>
        <v>192206</v>
      </c>
      <c r="K177" s="39"/>
    </row>
    <row r="178" spans="2:11" ht="20.100000000000001" customHeight="1" x14ac:dyDescent="0.25">
      <c r="B178" s="11"/>
      <c r="C178" s="66"/>
      <c r="D178" s="4"/>
      <c r="E178" s="43"/>
      <c r="F178" s="35"/>
      <c r="G178" s="35"/>
      <c r="H178" s="34"/>
      <c r="J178" s="76">
        <f t="shared" si="2"/>
        <v>192206</v>
      </c>
      <c r="K178" s="39"/>
    </row>
    <row r="179" spans="2:11" ht="20.100000000000001" customHeight="1" x14ac:dyDescent="0.25">
      <c r="B179" s="11"/>
      <c r="C179" s="66"/>
      <c r="D179" s="4"/>
      <c r="E179" s="43"/>
      <c r="F179" s="35"/>
      <c r="G179" s="35"/>
      <c r="H179" s="34"/>
      <c r="J179" s="76">
        <f t="shared" si="2"/>
        <v>192206</v>
      </c>
      <c r="K179" s="39"/>
    </row>
    <row r="180" spans="2:11" ht="20.100000000000001" customHeight="1" x14ac:dyDescent="0.25">
      <c r="B180" s="11"/>
      <c r="C180" s="66"/>
      <c r="D180" s="4"/>
      <c r="E180" s="43"/>
      <c r="F180" s="35"/>
      <c r="G180" s="35"/>
      <c r="H180" s="34"/>
      <c r="J180" s="76">
        <f t="shared" si="2"/>
        <v>192206</v>
      </c>
      <c r="K180" s="39"/>
    </row>
    <row r="181" spans="2:11" ht="20.100000000000001" customHeight="1" x14ac:dyDescent="0.25">
      <c r="B181" s="11"/>
      <c r="C181" s="66"/>
      <c r="D181" s="4"/>
      <c r="E181" s="43"/>
      <c r="F181" s="35"/>
      <c r="G181" s="35"/>
      <c r="H181" s="34"/>
      <c r="J181" s="76">
        <f t="shared" si="2"/>
        <v>192206</v>
      </c>
      <c r="K181" s="39"/>
    </row>
    <row r="182" spans="2:11" ht="20.100000000000001" customHeight="1" x14ac:dyDescent="0.25">
      <c r="B182" s="11"/>
      <c r="C182" s="66"/>
      <c r="D182" s="4"/>
      <c r="E182" s="43"/>
      <c r="F182" s="35"/>
      <c r="G182" s="35"/>
      <c r="H182" s="34"/>
      <c r="J182" s="76">
        <f t="shared" si="2"/>
        <v>192206</v>
      </c>
      <c r="K182" s="39"/>
    </row>
    <row r="183" spans="2:11" ht="20.100000000000001" customHeight="1" x14ac:dyDescent="0.25">
      <c r="B183" s="11"/>
      <c r="C183" s="66"/>
      <c r="D183" s="4"/>
      <c r="E183" s="43"/>
      <c r="F183" s="35"/>
      <c r="G183" s="35"/>
      <c r="H183" s="34"/>
      <c r="J183" s="76">
        <f t="shared" si="2"/>
        <v>192206</v>
      </c>
      <c r="K183" s="39"/>
    </row>
    <row r="184" spans="2:11" ht="20.100000000000001" customHeight="1" x14ac:dyDescent="0.25">
      <c r="B184" s="11"/>
      <c r="C184" s="66"/>
      <c r="D184" s="4"/>
      <c r="E184" s="43"/>
      <c r="F184" s="35"/>
      <c r="G184" s="35"/>
      <c r="H184" s="34"/>
      <c r="J184" s="76">
        <f t="shared" si="2"/>
        <v>192206</v>
      </c>
      <c r="K184" s="39"/>
    </row>
    <row r="185" spans="2:11" ht="20.100000000000001" customHeight="1" x14ac:dyDescent="0.25">
      <c r="B185" s="11"/>
      <c r="C185" s="66"/>
      <c r="D185" s="4"/>
      <c r="E185" s="43"/>
      <c r="F185" s="35"/>
      <c r="G185" s="35"/>
      <c r="H185" s="34"/>
      <c r="J185" s="76">
        <f t="shared" si="2"/>
        <v>192206</v>
      </c>
      <c r="K185" s="39"/>
    </row>
    <row r="186" spans="2:11" ht="20.100000000000001" customHeight="1" x14ac:dyDescent="0.25">
      <c r="B186" s="11"/>
      <c r="C186" s="66"/>
      <c r="D186" s="4"/>
      <c r="E186" s="43"/>
      <c r="F186" s="35"/>
      <c r="G186" s="35"/>
      <c r="H186" s="34"/>
      <c r="J186" s="76">
        <f t="shared" si="2"/>
        <v>192206</v>
      </c>
      <c r="K186" s="39"/>
    </row>
    <row r="187" spans="2:11" ht="20.100000000000001" customHeight="1" x14ac:dyDescent="0.25">
      <c r="B187" s="11"/>
      <c r="C187" s="66"/>
      <c r="D187" s="4"/>
      <c r="E187" s="43"/>
      <c r="F187" s="35"/>
      <c r="G187" s="35"/>
      <c r="H187" s="34"/>
      <c r="J187" s="76">
        <f t="shared" si="2"/>
        <v>192206</v>
      </c>
      <c r="K187" s="39"/>
    </row>
    <row r="188" spans="2:11" ht="20.100000000000001" customHeight="1" x14ac:dyDescent="0.25">
      <c r="B188" s="11"/>
      <c r="C188" s="66"/>
      <c r="D188" s="4"/>
      <c r="E188" s="43"/>
      <c r="F188" s="35"/>
      <c r="G188" s="35"/>
      <c r="H188" s="34"/>
      <c r="J188" s="76">
        <f t="shared" si="2"/>
        <v>192206</v>
      </c>
      <c r="K188" s="39"/>
    </row>
    <row r="189" spans="2:11" ht="20.100000000000001" customHeight="1" x14ac:dyDescent="0.25">
      <c r="B189" s="11"/>
      <c r="C189" s="66"/>
      <c r="D189" s="4"/>
      <c r="E189" s="43"/>
      <c r="F189" s="35"/>
      <c r="G189" s="35"/>
      <c r="H189" s="34"/>
      <c r="J189" s="76">
        <f t="shared" si="2"/>
        <v>192206</v>
      </c>
      <c r="K189" s="39"/>
    </row>
    <row r="190" spans="2:11" ht="20.100000000000001" customHeight="1" x14ac:dyDescent="0.25">
      <c r="B190" s="11"/>
      <c r="C190" s="66"/>
      <c r="D190" s="4"/>
      <c r="E190" s="43"/>
      <c r="F190" s="35"/>
      <c r="G190" s="35"/>
      <c r="H190" s="34"/>
      <c r="J190" s="76">
        <f t="shared" si="2"/>
        <v>192206</v>
      </c>
      <c r="K190" s="39"/>
    </row>
    <row r="191" spans="2:11" ht="20.100000000000001" customHeight="1" x14ac:dyDescent="0.25">
      <c r="B191" s="11"/>
      <c r="C191" s="66"/>
      <c r="D191" s="4"/>
      <c r="E191" s="43"/>
      <c r="F191" s="35"/>
      <c r="G191" s="35"/>
      <c r="H191" s="34"/>
      <c r="J191" s="76">
        <f t="shared" si="2"/>
        <v>192206</v>
      </c>
      <c r="K191" s="39"/>
    </row>
    <row r="192" spans="2:11" ht="20.100000000000001" customHeight="1" x14ac:dyDescent="0.25">
      <c r="B192" s="11"/>
      <c r="C192" s="66"/>
      <c r="D192" s="4"/>
      <c r="E192" s="43"/>
      <c r="F192" s="35"/>
      <c r="G192" s="35"/>
      <c r="H192" s="34"/>
      <c r="J192" s="76">
        <f t="shared" si="2"/>
        <v>192206</v>
      </c>
      <c r="K192" s="39"/>
    </row>
    <row r="193" spans="2:11" ht="20.100000000000001" customHeight="1" x14ac:dyDescent="0.25">
      <c r="B193" s="11"/>
      <c r="C193" s="66"/>
      <c r="D193" s="4"/>
      <c r="E193" s="43"/>
      <c r="F193" s="35"/>
      <c r="G193" s="35"/>
      <c r="H193" s="34"/>
      <c r="J193" s="76">
        <f t="shared" si="2"/>
        <v>192206</v>
      </c>
      <c r="K193" s="39"/>
    </row>
    <row r="194" spans="2:11" ht="20.100000000000001" customHeight="1" x14ac:dyDescent="0.25">
      <c r="B194" s="11"/>
      <c r="C194" s="66"/>
      <c r="D194" s="4"/>
      <c r="E194" s="43"/>
      <c r="F194" s="35"/>
      <c r="G194" s="35"/>
      <c r="H194" s="34"/>
      <c r="J194" s="76">
        <f t="shared" si="2"/>
        <v>192206</v>
      </c>
      <c r="K194" s="39"/>
    </row>
    <row r="195" spans="2:11" ht="20.100000000000001" customHeight="1" x14ac:dyDescent="0.25">
      <c r="B195" s="11"/>
      <c r="C195" s="66"/>
      <c r="D195" s="4"/>
      <c r="E195" s="43"/>
      <c r="F195" s="35"/>
      <c r="G195" s="35"/>
      <c r="H195" s="34"/>
      <c r="J195" s="76">
        <f t="shared" si="2"/>
        <v>192206</v>
      </c>
      <c r="K195" s="39"/>
    </row>
    <row r="196" spans="2:11" ht="20.100000000000001" customHeight="1" x14ac:dyDescent="0.25">
      <c r="B196" s="11"/>
      <c r="C196" s="66"/>
      <c r="D196" s="4"/>
      <c r="E196" s="43"/>
      <c r="F196" s="35"/>
      <c r="G196" s="35"/>
      <c r="H196" s="34"/>
      <c r="J196" s="76">
        <f t="shared" si="2"/>
        <v>192206</v>
      </c>
      <c r="K196" s="39"/>
    </row>
    <row r="197" spans="2:11" ht="20.100000000000001" customHeight="1" x14ac:dyDescent="0.25">
      <c r="B197" s="11"/>
      <c r="C197" s="66"/>
      <c r="D197" s="4"/>
      <c r="E197" s="43"/>
      <c r="F197" s="35"/>
      <c r="G197" s="35"/>
      <c r="H197" s="34"/>
      <c r="J197" s="76">
        <f t="shared" si="2"/>
        <v>192206</v>
      </c>
      <c r="K197" s="39"/>
    </row>
    <row r="198" spans="2:11" ht="20.100000000000001" customHeight="1" x14ac:dyDescent="0.25">
      <c r="B198" s="11"/>
      <c r="C198" s="66"/>
      <c r="D198" s="4"/>
      <c r="E198" s="43"/>
      <c r="F198" s="35"/>
      <c r="G198" s="35"/>
      <c r="H198" s="35"/>
      <c r="J198" s="76">
        <f t="shared" si="2"/>
        <v>192206</v>
      </c>
      <c r="K198" s="39"/>
    </row>
    <row r="199" spans="2:11" ht="20.100000000000001" customHeight="1" x14ac:dyDescent="0.25">
      <c r="B199" s="11"/>
      <c r="C199" s="66"/>
      <c r="D199" s="4"/>
      <c r="E199" s="43"/>
      <c r="F199" s="35"/>
      <c r="G199" s="35"/>
      <c r="H199" s="35"/>
      <c r="J199" s="76">
        <f t="shared" si="2"/>
        <v>192206</v>
      </c>
      <c r="K199" s="39"/>
    </row>
    <row r="200" spans="2:11" ht="20.100000000000001" customHeight="1" x14ac:dyDescent="0.25">
      <c r="B200" s="11"/>
      <c r="C200" s="66"/>
      <c r="D200" s="4"/>
      <c r="E200" s="43"/>
      <c r="F200" s="35"/>
      <c r="G200" s="35"/>
      <c r="H200" s="35"/>
      <c r="J200" s="76">
        <f t="shared" ref="J200:J263" si="3">J199+F200-G200</f>
        <v>192206</v>
      </c>
      <c r="K200" s="39"/>
    </row>
    <row r="201" spans="2:11" ht="20.100000000000001" customHeight="1" x14ac:dyDescent="0.25">
      <c r="B201" s="11"/>
      <c r="C201" s="66"/>
      <c r="D201" s="4"/>
      <c r="E201" s="43"/>
      <c r="F201" s="35"/>
      <c r="G201" s="35"/>
      <c r="H201" s="35"/>
      <c r="J201" s="76">
        <f t="shared" si="3"/>
        <v>192206</v>
      </c>
      <c r="K201" s="39"/>
    </row>
    <row r="202" spans="2:11" ht="20.100000000000001" customHeight="1" x14ac:dyDescent="0.25">
      <c r="C202" s="67"/>
      <c r="D202" s="4"/>
      <c r="E202" s="43"/>
      <c r="F202" s="34"/>
      <c r="G202" s="34"/>
      <c r="H202" s="34"/>
      <c r="I202" s="50"/>
      <c r="J202" s="76">
        <f t="shared" si="3"/>
        <v>192206</v>
      </c>
      <c r="K202" s="40"/>
    </row>
    <row r="203" spans="2:11" ht="20.100000000000001" customHeight="1" x14ac:dyDescent="0.25">
      <c r="C203" s="67"/>
      <c r="D203" s="4"/>
      <c r="E203" s="43"/>
      <c r="F203" s="35"/>
      <c r="G203" s="35"/>
      <c r="H203" s="35"/>
      <c r="J203" s="76">
        <f t="shared" si="3"/>
        <v>192206</v>
      </c>
      <c r="K203" s="39"/>
    </row>
    <row r="204" spans="2:11" ht="20.100000000000001" customHeight="1" x14ac:dyDescent="0.25">
      <c r="C204" s="67"/>
      <c r="D204" s="4"/>
      <c r="E204" s="43"/>
      <c r="F204" s="35"/>
      <c r="G204" s="35"/>
      <c r="H204" s="35"/>
      <c r="J204" s="76">
        <f t="shared" si="3"/>
        <v>192206</v>
      </c>
    </row>
    <row r="205" spans="2:11" ht="20.100000000000001" customHeight="1" x14ac:dyDescent="0.25">
      <c r="C205" s="67"/>
      <c r="D205" s="4"/>
      <c r="E205" s="43"/>
      <c r="F205" s="35"/>
      <c r="G205" s="35"/>
      <c r="H205" s="35"/>
      <c r="J205" s="76">
        <f t="shared" si="3"/>
        <v>192206</v>
      </c>
    </row>
    <row r="206" spans="2:11" ht="20.100000000000001" customHeight="1" x14ac:dyDescent="0.25">
      <c r="C206" s="67"/>
      <c r="D206" s="4"/>
      <c r="E206" s="43"/>
      <c r="F206" s="35"/>
      <c r="G206" s="35"/>
      <c r="H206" s="35"/>
      <c r="J206" s="76">
        <f t="shared" si="3"/>
        <v>192206</v>
      </c>
    </row>
    <row r="207" spans="2:11" ht="20.100000000000001" customHeight="1" x14ac:dyDescent="0.25">
      <c r="C207" s="67"/>
      <c r="D207" s="4"/>
      <c r="E207" s="43"/>
      <c r="J207" s="76">
        <f t="shared" si="3"/>
        <v>192206</v>
      </c>
    </row>
    <row r="208" spans="2:11" ht="20.100000000000001" customHeight="1" x14ac:dyDescent="0.25">
      <c r="C208" s="67"/>
      <c r="D208" s="4"/>
      <c r="J208" s="76">
        <f t="shared" si="3"/>
        <v>192206</v>
      </c>
    </row>
    <row r="209" spans="3:10" ht="20.100000000000001" customHeight="1" x14ac:dyDescent="0.25">
      <c r="C209" s="67"/>
      <c r="D209" s="4"/>
      <c r="J209" s="76">
        <f t="shared" si="3"/>
        <v>192206</v>
      </c>
    </row>
    <row r="210" spans="3:10" ht="20.100000000000001" customHeight="1" x14ac:dyDescent="0.25">
      <c r="C210" s="67"/>
      <c r="D210" s="4"/>
      <c r="J210" s="76">
        <f t="shared" si="3"/>
        <v>192206</v>
      </c>
    </row>
    <row r="211" spans="3:10" ht="20.100000000000001" customHeight="1" x14ac:dyDescent="0.25">
      <c r="C211" s="67"/>
      <c r="D211" s="4"/>
      <c r="J211" s="76">
        <f t="shared" si="3"/>
        <v>192206</v>
      </c>
    </row>
    <row r="212" spans="3:10" ht="20.100000000000001" customHeight="1" x14ac:dyDescent="0.25">
      <c r="C212" s="67"/>
      <c r="D212" s="4"/>
      <c r="J212" s="76">
        <f t="shared" si="3"/>
        <v>192206</v>
      </c>
    </row>
    <row r="213" spans="3:10" ht="20.100000000000001" customHeight="1" x14ac:dyDescent="0.25">
      <c r="C213" s="67"/>
      <c r="D213" s="4"/>
      <c r="J213" s="76">
        <f t="shared" si="3"/>
        <v>192206</v>
      </c>
    </row>
    <row r="214" spans="3:10" ht="20.100000000000001" customHeight="1" x14ac:dyDescent="0.25">
      <c r="C214" s="67"/>
      <c r="D214" s="4"/>
      <c r="J214" s="76">
        <f t="shared" si="3"/>
        <v>192206</v>
      </c>
    </row>
    <row r="215" spans="3:10" ht="20.100000000000001" customHeight="1" x14ac:dyDescent="0.25">
      <c r="C215" s="67"/>
      <c r="D215" s="4"/>
      <c r="J215" s="76">
        <f t="shared" si="3"/>
        <v>192206</v>
      </c>
    </row>
    <row r="216" spans="3:10" ht="20.100000000000001" customHeight="1" x14ac:dyDescent="0.25">
      <c r="C216" s="67"/>
      <c r="D216" s="4"/>
      <c r="J216" s="76">
        <f t="shared" si="3"/>
        <v>192206</v>
      </c>
    </row>
    <row r="217" spans="3:10" ht="20.100000000000001" customHeight="1" x14ac:dyDescent="0.25">
      <c r="C217" s="67"/>
      <c r="D217" s="4"/>
      <c r="J217" s="76">
        <f t="shared" si="3"/>
        <v>192206</v>
      </c>
    </row>
    <row r="218" spans="3:10" ht="20.100000000000001" customHeight="1" x14ac:dyDescent="0.25">
      <c r="C218" s="67"/>
      <c r="D218" s="4"/>
      <c r="J218" s="76">
        <f t="shared" si="3"/>
        <v>192206</v>
      </c>
    </row>
    <row r="219" spans="3:10" ht="20.100000000000001" customHeight="1" x14ac:dyDescent="0.25">
      <c r="C219" s="67"/>
      <c r="D219" s="4"/>
      <c r="J219" s="76">
        <f t="shared" si="3"/>
        <v>192206</v>
      </c>
    </row>
    <row r="220" spans="3:10" ht="20.100000000000001" customHeight="1" x14ac:dyDescent="0.25">
      <c r="C220" s="67"/>
      <c r="D220" s="4"/>
      <c r="J220" s="76">
        <f t="shared" si="3"/>
        <v>192206</v>
      </c>
    </row>
    <row r="221" spans="3:10" ht="20.100000000000001" customHeight="1" x14ac:dyDescent="0.25">
      <c r="C221" s="67"/>
      <c r="D221" s="4"/>
      <c r="J221" s="76">
        <f t="shared" si="3"/>
        <v>192206</v>
      </c>
    </row>
    <row r="222" spans="3:10" ht="20.100000000000001" customHeight="1" x14ac:dyDescent="0.25">
      <c r="C222" s="67"/>
      <c r="D222" s="16"/>
      <c r="J222" s="76">
        <f t="shared" si="3"/>
        <v>192206</v>
      </c>
    </row>
    <row r="223" spans="3:10" ht="20.100000000000001" customHeight="1" x14ac:dyDescent="0.25">
      <c r="C223" s="67"/>
      <c r="D223" s="16"/>
      <c r="J223" s="76">
        <f t="shared" si="3"/>
        <v>192206</v>
      </c>
    </row>
    <row r="224" spans="3:10" ht="20.100000000000001" customHeight="1" x14ac:dyDescent="0.25">
      <c r="C224" s="67"/>
      <c r="D224" s="16"/>
      <c r="J224" s="76">
        <f t="shared" si="3"/>
        <v>192206</v>
      </c>
    </row>
    <row r="225" spans="3:10" ht="20.100000000000001" customHeight="1" x14ac:dyDescent="0.25">
      <c r="C225" s="67"/>
      <c r="D225" s="16"/>
      <c r="J225" s="76">
        <f t="shared" si="3"/>
        <v>192206</v>
      </c>
    </row>
    <row r="226" spans="3:10" ht="20.100000000000001" customHeight="1" x14ac:dyDescent="0.25">
      <c r="C226" s="67"/>
      <c r="D226" s="16"/>
      <c r="J226" s="76">
        <f t="shared" si="3"/>
        <v>192206</v>
      </c>
    </row>
    <row r="227" spans="3:10" ht="20.100000000000001" customHeight="1" x14ac:dyDescent="0.25">
      <c r="C227" s="67"/>
      <c r="D227" s="16"/>
      <c r="J227" s="76">
        <f t="shared" si="3"/>
        <v>192206</v>
      </c>
    </row>
    <row r="228" spans="3:10" ht="20.100000000000001" customHeight="1" x14ac:dyDescent="0.25">
      <c r="C228" s="67"/>
      <c r="D228" s="16"/>
      <c r="J228" s="76">
        <f t="shared" si="3"/>
        <v>192206</v>
      </c>
    </row>
    <row r="229" spans="3:10" ht="20.100000000000001" customHeight="1" x14ac:dyDescent="0.25">
      <c r="C229" s="67"/>
      <c r="D229" s="16"/>
      <c r="J229" s="76">
        <f t="shared" si="3"/>
        <v>192206</v>
      </c>
    </row>
    <row r="230" spans="3:10" ht="20.100000000000001" customHeight="1" x14ac:dyDescent="0.25">
      <c r="C230" s="67"/>
      <c r="D230" s="16"/>
      <c r="J230" s="76">
        <f t="shared" si="3"/>
        <v>192206</v>
      </c>
    </row>
    <row r="231" spans="3:10" ht="20.100000000000001" customHeight="1" x14ac:dyDescent="0.25">
      <c r="C231" s="67"/>
      <c r="D231" s="16"/>
      <c r="J231" s="76">
        <f t="shared" si="3"/>
        <v>192206</v>
      </c>
    </row>
    <row r="232" spans="3:10" ht="20.100000000000001" customHeight="1" x14ac:dyDescent="0.25">
      <c r="C232" s="67"/>
      <c r="D232" s="16"/>
      <c r="J232" s="76">
        <f t="shared" si="3"/>
        <v>192206</v>
      </c>
    </row>
    <row r="233" spans="3:10" ht="20.100000000000001" customHeight="1" x14ac:dyDescent="0.25">
      <c r="C233" s="67"/>
      <c r="D233" s="16"/>
      <c r="J233" s="76">
        <f t="shared" si="3"/>
        <v>192206</v>
      </c>
    </row>
    <row r="234" spans="3:10" ht="20.100000000000001" customHeight="1" x14ac:dyDescent="0.25">
      <c r="J234" s="76">
        <f t="shared" si="3"/>
        <v>192206</v>
      </c>
    </row>
    <row r="235" spans="3:10" ht="20.100000000000001" customHeight="1" x14ac:dyDescent="0.25">
      <c r="J235" s="76">
        <f t="shared" si="3"/>
        <v>192206</v>
      </c>
    </row>
    <row r="236" spans="3:10" ht="20.100000000000001" customHeight="1" x14ac:dyDescent="0.25">
      <c r="J236" s="76">
        <f t="shared" si="3"/>
        <v>192206</v>
      </c>
    </row>
    <row r="237" spans="3:10" ht="20.100000000000001" customHeight="1" x14ac:dyDescent="0.25">
      <c r="J237" s="76">
        <f t="shared" si="3"/>
        <v>192206</v>
      </c>
    </row>
    <row r="238" spans="3:10" ht="20.100000000000001" customHeight="1" x14ac:dyDescent="0.25">
      <c r="J238" s="76">
        <f t="shared" si="3"/>
        <v>192206</v>
      </c>
    </row>
    <row r="239" spans="3:10" ht="20.100000000000001" customHeight="1" x14ac:dyDescent="0.25">
      <c r="J239" s="76">
        <f t="shared" si="3"/>
        <v>192206</v>
      </c>
    </row>
    <row r="240" spans="3:10" ht="20.100000000000001" customHeight="1" x14ac:dyDescent="0.25">
      <c r="J240" s="76">
        <f t="shared" si="3"/>
        <v>192206</v>
      </c>
    </row>
    <row r="241" spans="10:10" ht="20.100000000000001" customHeight="1" x14ac:dyDescent="0.25">
      <c r="J241" s="76">
        <f t="shared" si="3"/>
        <v>192206</v>
      </c>
    </row>
    <row r="242" spans="10:10" ht="20.100000000000001" customHeight="1" x14ac:dyDescent="0.25">
      <c r="J242" s="76">
        <f t="shared" si="3"/>
        <v>192206</v>
      </c>
    </row>
    <row r="243" spans="10:10" ht="20.100000000000001" customHeight="1" x14ac:dyDescent="0.25">
      <c r="J243" s="76">
        <f t="shared" si="3"/>
        <v>192206</v>
      </c>
    </row>
    <row r="244" spans="10:10" ht="20.100000000000001" customHeight="1" x14ac:dyDescent="0.25">
      <c r="J244" s="76">
        <f t="shared" si="3"/>
        <v>192206</v>
      </c>
    </row>
    <row r="245" spans="10:10" ht="20.100000000000001" customHeight="1" x14ac:dyDescent="0.25">
      <c r="J245" s="76">
        <f t="shared" si="3"/>
        <v>192206</v>
      </c>
    </row>
    <row r="246" spans="10:10" ht="20.100000000000001" customHeight="1" x14ac:dyDescent="0.25">
      <c r="J246" s="76">
        <f t="shared" si="3"/>
        <v>192206</v>
      </c>
    </row>
    <row r="247" spans="10:10" ht="20.100000000000001" customHeight="1" x14ac:dyDescent="0.25">
      <c r="J247" s="76">
        <f t="shared" si="3"/>
        <v>192206</v>
      </c>
    </row>
    <row r="248" spans="10:10" ht="20.100000000000001" customHeight="1" x14ac:dyDescent="0.25">
      <c r="J248" s="76">
        <f t="shared" si="3"/>
        <v>192206</v>
      </c>
    </row>
    <row r="249" spans="10:10" ht="20.100000000000001" customHeight="1" x14ac:dyDescent="0.25">
      <c r="J249" s="76">
        <f t="shared" si="3"/>
        <v>192206</v>
      </c>
    </row>
    <row r="250" spans="10:10" ht="20.100000000000001" customHeight="1" x14ac:dyDescent="0.25">
      <c r="J250" s="76">
        <f t="shared" si="3"/>
        <v>192206</v>
      </c>
    </row>
    <row r="251" spans="10:10" ht="20.100000000000001" customHeight="1" x14ac:dyDescent="0.25">
      <c r="J251" s="76">
        <f t="shared" si="3"/>
        <v>192206</v>
      </c>
    </row>
    <row r="252" spans="10:10" ht="20.100000000000001" customHeight="1" x14ac:dyDescent="0.25">
      <c r="J252" s="76">
        <f t="shared" si="3"/>
        <v>192206</v>
      </c>
    </row>
    <row r="253" spans="10:10" ht="20.100000000000001" customHeight="1" x14ac:dyDescent="0.25">
      <c r="J253" s="76">
        <f t="shared" si="3"/>
        <v>192206</v>
      </c>
    </row>
    <row r="254" spans="10:10" ht="20.100000000000001" customHeight="1" x14ac:dyDescent="0.25">
      <c r="J254" s="76">
        <f t="shared" si="3"/>
        <v>192206</v>
      </c>
    </row>
    <row r="255" spans="10:10" ht="20.100000000000001" customHeight="1" x14ac:dyDescent="0.25">
      <c r="J255" s="76">
        <f t="shared" si="3"/>
        <v>192206</v>
      </c>
    </row>
    <row r="256" spans="10:10" ht="20.100000000000001" customHeight="1" x14ac:dyDescent="0.25">
      <c r="J256" s="76">
        <f t="shared" si="3"/>
        <v>192206</v>
      </c>
    </row>
    <row r="257" spans="10:10" ht="20.100000000000001" customHeight="1" x14ac:dyDescent="0.25">
      <c r="J257" s="76">
        <f t="shared" si="3"/>
        <v>192206</v>
      </c>
    </row>
    <row r="258" spans="10:10" ht="20.100000000000001" customHeight="1" x14ac:dyDescent="0.25">
      <c r="J258" s="76">
        <f t="shared" si="3"/>
        <v>192206</v>
      </c>
    </row>
    <row r="259" spans="10:10" ht="20.100000000000001" customHeight="1" x14ac:dyDescent="0.25">
      <c r="J259" s="76">
        <f t="shared" si="3"/>
        <v>192206</v>
      </c>
    </row>
    <row r="260" spans="10:10" ht="20.100000000000001" customHeight="1" x14ac:dyDescent="0.25">
      <c r="J260" s="76">
        <f t="shared" si="3"/>
        <v>192206</v>
      </c>
    </row>
    <row r="261" spans="10:10" ht="20.100000000000001" customHeight="1" x14ac:dyDescent="0.25">
      <c r="J261" s="76">
        <f t="shared" si="3"/>
        <v>192206</v>
      </c>
    </row>
    <row r="262" spans="10:10" ht="20.100000000000001" customHeight="1" x14ac:dyDescent="0.25">
      <c r="J262" s="76">
        <f t="shared" si="3"/>
        <v>192206</v>
      </c>
    </row>
    <row r="263" spans="10:10" ht="20.100000000000001" customHeight="1" x14ac:dyDescent="0.25">
      <c r="J263" s="76">
        <f t="shared" si="3"/>
        <v>192206</v>
      </c>
    </row>
    <row r="264" spans="10:10" ht="20.100000000000001" customHeight="1" x14ac:dyDescent="0.25">
      <c r="J264" s="76">
        <f t="shared" ref="J264:J298" si="4">J263+F264-G264</f>
        <v>192206</v>
      </c>
    </row>
    <row r="265" spans="10:10" ht="20.100000000000001" customHeight="1" x14ac:dyDescent="0.25">
      <c r="J265" s="76">
        <f t="shared" si="4"/>
        <v>192206</v>
      </c>
    </row>
    <row r="266" spans="10:10" ht="20.100000000000001" customHeight="1" x14ac:dyDescent="0.25">
      <c r="J266" s="76">
        <f t="shared" si="4"/>
        <v>192206</v>
      </c>
    </row>
    <row r="267" spans="10:10" ht="20.100000000000001" customHeight="1" x14ac:dyDescent="0.25">
      <c r="J267" s="76">
        <f t="shared" si="4"/>
        <v>192206</v>
      </c>
    </row>
    <row r="268" spans="10:10" ht="20.100000000000001" customHeight="1" x14ac:dyDescent="0.25">
      <c r="J268" s="76">
        <f t="shared" si="4"/>
        <v>192206</v>
      </c>
    </row>
    <row r="269" spans="10:10" ht="20.100000000000001" customHeight="1" x14ac:dyDescent="0.25">
      <c r="J269" s="76">
        <f t="shared" si="4"/>
        <v>192206</v>
      </c>
    </row>
    <row r="270" spans="10:10" ht="20.100000000000001" customHeight="1" x14ac:dyDescent="0.25">
      <c r="J270" s="76">
        <f t="shared" si="4"/>
        <v>192206</v>
      </c>
    </row>
    <row r="271" spans="10:10" ht="20.100000000000001" customHeight="1" x14ac:dyDescent="0.25">
      <c r="J271" s="76">
        <f t="shared" si="4"/>
        <v>192206</v>
      </c>
    </row>
    <row r="272" spans="10:10" ht="20.100000000000001" customHeight="1" x14ac:dyDescent="0.25">
      <c r="J272" s="76">
        <f t="shared" si="4"/>
        <v>192206</v>
      </c>
    </row>
    <row r="273" spans="10:10" ht="20.100000000000001" customHeight="1" x14ac:dyDescent="0.25">
      <c r="J273" s="76">
        <f t="shared" si="4"/>
        <v>192206</v>
      </c>
    </row>
    <row r="274" spans="10:10" ht="20.100000000000001" customHeight="1" x14ac:dyDescent="0.25">
      <c r="J274" s="76">
        <f t="shared" si="4"/>
        <v>192206</v>
      </c>
    </row>
    <row r="275" spans="10:10" ht="20.100000000000001" customHeight="1" x14ac:dyDescent="0.25">
      <c r="J275" s="76">
        <f t="shared" si="4"/>
        <v>192206</v>
      </c>
    </row>
    <row r="276" spans="10:10" ht="20.100000000000001" customHeight="1" x14ac:dyDescent="0.25">
      <c r="J276" s="76">
        <f t="shared" si="4"/>
        <v>192206</v>
      </c>
    </row>
    <row r="277" spans="10:10" ht="20.100000000000001" customHeight="1" x14ac:dyDescent="0.25">
      <c r="J277" s="76">
        <f t="shared" si="4"/>
        <v>192206</v>
      </c>
    </row>
    <row r="278" spans="10:10" ht="20.100000000000001" customHeight="1" x14ac:dyDescent="0.25">
      <c r="J278" s="76">
        <f t="shared" si="4"/>
        <v>192206</v>
      </c>
    </row>
    <row r="279" spans="10:10" ht="20.100000000000001" customHeight="1" x14ac:dyDescent="0.25">
      <c r="J279" s="76">
        <f t="shared" si="4"/>
        <v>192206</v>
      </c>
    </row>
    <row r="280" spans="10:10" ht="20.100000000000001" customHeight="1" x14ac:dyDescent="0.25">
      <c r="J280" s="76">
        <f t="shared" si="4"/>
        <v>192206</v>
      </c>
    </row>
    <row r="281" spans="10:10" ht="20.100000000000001" customHeight="1" x14ac:dyDescent="0.25">
      <c r="J281" s="76">
        <f t="shared" si="4"/>
        <v>192206</v>
      </c>
    </row>
    <row r="282" spans="10:10" ht="20.100000000000001" customHeight="1" x14ac:dyDescent="0.25">
      <c r="J282" s="76">
        <f t="shared" si="4"/>
        <v>192206</v>
      </c>
    </row>
    <row r="283" spans="10:10" ht="20.100000000000001" customHeight="1" x14ac:dyDescent="0.25">
      <c r="J283" s="76">
        <f t="shared" si="4"/>
        <v>192206</v>
      </c>
    </row>
    <row r="284" spans="10:10" ht="20.100000000000001" customHeight="1" x14ac:dyDescent="0.25">
      <c r="J284" s="76">
        <f t="shared" si="4"/>
        <v>192206</v>
      </c>
    </row>
    <row r="285" spans="10:10" ht="20.100000000000001" customHeight="1" x14ac:dyDescent="0.25">
      <c r="J285" s="76">
        <f t="shared" si="4"/>
        <v>192206</v>
      </c>
    </row>
    <row r="286" spans="10:10" ht="20.100000000000001" customHeight="1" x14ac:dyDescent="0.25">
      <c r="J286" s="76">
        <f t="shared" si="4"/>
        <v>192206</v>
      </c>
    </row>
    <row r="287" spans="10:10" ht="20.100000000000001" customHeight="1" x14ac:dyDescent="0.25">
      <c r="J287" s="76">
        <f t="shared" si="4"/>
        <v>192206</v>
      </c>
    </row>
    <row r="288" spans="10:10" ht="20.100000000000001" customHeight="1" x14ac:dyDescent="0.25">
      <c r="J288" s="76">
        <f t="shared" si="4"/>
        <v>192206</v>
      </c>
    </row>
    <row r="289" spans="10:10" ht="20.100000000000001" customHeight="1" x14ac:dyDescent="0.25">
      <c r="J289" s="76">
        <f t="shared" si="4"/>
        <v>192206</v>
      </c>
    </row>
    <row r="290" spans="10:10" ht="20.100000000000001" customHeight="1" x14ac:dyDescent="0.25">
      <c r="J290" s="76">
        <f t="shared" si="4"/>
        <v>192206</v>
      </c>
    </row>
    <row r="291" spans="10:10" ht="20.100000000000001" customHeight="1" x14ac:dyDescent="0.25">
      <c r="J291" s="76">
        <f t="shared" si="4"/>
        <v>192206</v>
      </c>
    </row>
    <row r="292" spans="10:10" ht="20.100000000000001" customHeight="1" x14ac:dyDescent="0.25">
      <c r="J292" s="76">
        <f t="shared" si="4"/>
        <v>192206</v>
      </c>
    </row>
    <row r="293" spans="10:10" ht="20.100000000000001" customHeight="1" x14ac:dyDescent="0.25">
      <c r="J293" s="76">
        <f t="shared" si="4"/>
        <v>192206</v>
      </c>
    </row>
    <row r="294" spans="10:10" ht="20.100000000000001" customHeight="1" x14ac:dyDescent="0.25">
      <c r="J294" s="76">
        <f t="shared" si="4"/>
        <v>192206</v>
      </c>
    </row>
    <row r="295" spans="10:10" ht="20.100000000000001" customHeight="1" x14ac:dyDescent="0.25">
      <c r="J295" s="76">
        <f t="shared" si="4"/>
        <v>192206</v>
      </c>
    </row>
    <row r="296" spans="10:10" ht="20.100000000000001" customHeight="1" x14ac:dyDescent="0.25">
      <c r="J296" s="76">
        <f t="shared" si="4"/>
        <v>192206</v>
      </c>
    </row>
    <row r="297" spans="10:10" ht="20.100000000000001" customHeight="1" x14ac:dyDescent="0.25">
      <c r="J297" s="76">
        <f t="shared" si="4"/>
        <v>192206</v>
      </c>
    </row>
    <row r="298" spans="10:10" ht="20.100000000000001" customHeight="1" x14ac:dyDescent="0.25">
      <c r="J298" s="76">
        <f t="shared" si="4"/>
        <v>192206</v>
      </c>
    </row>
  </sheetData>
  <mergeCells count="6">
    <mergeCell ref="B1:B4"/>
    <mergeCell ref="D1:F2"/>
    <mergeCell ref="K1:K2"/>
    <mergeCell ref="D3:F3"/>
    <mergeCell ref="K3:K4"/>
    <mergeCell ref="D4:F4"/>
  </mergeCells>
  <pageMargins left="0.7" right="0.7" top="0.75" bottom="0.75" header="0.3" footer="0.3"/>
  <pageSetup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'DASHBOARD-OLD'!O18:O19</xm:f>
          </x14:formula1>
          <xm:sqref>H7:H197</xm:sqref>
        </x14:dataValidation>
        <x14:dataValidation type="list" allowBlank="1" showInputMessage="1" showErrorMessage="1">
          <x14:formula1>
            <xm:f>'DASHBOARD-OLD'!O13:O14</xm:f>
          </x14:formula1>
          <xm:sqref>D7:D221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AB AHAD MIR</vt:lpstr>
      <vt:lpstr>AB AHAD MIR (2)</vt:lpstr>
      <vt:lpstr>Sheet1</vt:lpstr>
      <vt:lpstr>DASHBOARD-OLD</vt:lpstr>
      <vt:lpstr>A(TEMPLET)-OLD</vt:lpstr>
      <vt:lpstr>AB AHAD MIR-OLD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2020-04-07T04:05:42Z</dcterms:modified>
</cp:coreProperties>
</file>